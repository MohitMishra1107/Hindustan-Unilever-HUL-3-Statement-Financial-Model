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Power\Downloads\"/>
    </mc:Choice>
  </mc:AlternateContent>
  <xr:revisionPtr revIDLastSave="0" documentId="13_ncr:1_{4E65D078-412D-4864-99FA-48F7C0C09FD3}" xr6:coauthVersionLast="47" xr6:coauthVersionMax="47" xr10:uidLastSave="{00000000-0000-0000-0000-000000000000}"/>
  <bookViews>
    <workbookView xWindow="-108" yWindow="-108" windowWidth="23256" windowHeight="12456" activeTab="2" xr2:uid="{874963DA-ACD9-4799-B504-217C783AC496}"/>
  </bookViews>
  <sheets>
    <sheet name="Balance Sheet " sheetId="2" r:id="rId1"/>
    <sheet name="P&amp;L" sheetId="3" r:id="rId2"/>
    <sheet name="Cash Flow 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2" l="1"/>
  <c r="J20" i="2"/>
  <c r="K20" i="2"/>
  <c r="L20" i="2"/>
  <c r="M20" i="2"/>
  <c r="G79" i="2"/>
  <c r="G75" i="2"/>
  <c r="G77" i="2" s="1"/>
  <c r="G67" i="3"/>
  <c r="I11" i="4"/>
  <c r="J11" i="4"/>
  <c r="K11" i="4"/>
  <c r="L11" i="4"/>
  <c r="M11" i="4"/>
  <c r="I10" i="4"/>
  <c r="J10" i="4"/>
  <c r="K10" i="4"/>
  <c r="L10" i="4"/>
  <c r="M10" i="4"/>
  <c r="I7" i="4"/>
  <c r="J7" i="4"/>
  <c r="K7" i="4"/>
  <c r="L7" i="4"/>
  <c r="M7" i="4"/>
  <c r="I8" i="4"/>
  <c r="J8" i="4"/>
  <c r="K8" i="4"/>
  <c r="L8" i="4"/>
  <c r="M8" i="4"/>
  <c r="I6" i="4"/>
  <c r="J6" i="4"/>
  <c r="K6" i="4"/>
  <c r="L6" i="4"/>
  <c r="M6" i="4"/>
  <c r="J8" i="3"/>
  <c r="I42" i="2"/>
  <c r="J42" i="2"/>
  <c r="K42" i="2"/>
  <c r="L42" i="2"/>
  <c r="M42" i="2"/>
  <c r="M26" i="2"/>
  <c r="L26" i="2" s="1"/>
  <c r="K26" i="2" s="1"/>
  <c r="J26" i="2" s="1"/>
  <c r="I26" i="2" s="1"/>
  <c r="I41" i="2"/>
  <c r="J41" i="2"/>
  <c r="K41" i="2"/>
  <c r="L41" i="2"/>
  <c r="M41" i="2"/>
  <c r="I37" i="2"/>
  <c r="J37" i="2"/>
  <c r="K37" i="2"/>
  <c r="L37" i="2"/>
  <c r="M37" i="2"/>
  <c r="I35" i="2"/>
  <c r="J35" i="2"/>
  <c r="K35" i="2"/>
  <c r="L35" i="2"/>
  <c r="M35" i="2"/>
  <c r="I30" i="2"/>
  <c r="J30" i="2"/>
  <c r="K30" i="2"/>
  <c r="L30" i="2"/>
  <c r="M30" i="2"/>
  <c r="I29" i="2"/>
  <c r="J29" i="2"/>
  <c r="K29" i="2"/>
  <c r="L29" i="2"/>
  <c r="M29" i="2"/>
  <c r="I28" i="2"/>
  <c r="J28" i="2"/>
  <c r="K28" i="2"/>
  <c r="L28" i="2"/>
  <c r="M28" i="2"/>
  <c r="M27" i="2"/>
  <c r="L27" i="2" s="1"/>
  <c r="K27" i="2" s="1"/>
  <c r="J27" i="2" s="1"/>
  <c r="I27" i="2" s="1"/>
  <c r="D65" i="3"/>
  <c r="D64" i="3"/>
  <c r="D63" i="3"/>
  <c r="G74" i="2"/>
  <c r="G76" i="2" s="1"/>
  <c r="I16" i="2"/>
  <c r="J16" i="2"/>
  <c r="K16" i="2"/>
  <c r="L16" i="2"/>
  <c r="M16" i="2"/>
  <c r="I15" i="2"/>
  <c r="J15" i="2"/>
  <c r="K15" i="2"/>
  <c r="L15" i="2"/>
  <c r="M15" i="2"/>
  <c r="I14" i="2"/>
  <c r="J14" i="2"/>
  <c r="K14" i="2"/>
  <c r="L14" i="2"/>
  <c r="M14" i="2"/>
  <c r="I13" i="2"/>
  <c r="J13" i="2"/>
  <c r="K13" i="2"/>
  <c r="L13" i="2"/>
  <c r="M13" i="2"/>
  <c r="J6" i="2"/>
  <c r="K6" i="2"/>
  <c r="L6" i="2"/>
  <c r="M6" i="2"/>
  <c r="I6" i="2"/>
  <c r="P24" i="3"/>
  <c r="D60" i="3"/>
  <c r="H60" i="3"/>
  <c r="G60" i="3"/>
  <c r="F60" i="3"/>
  <c r="E60" i="3"/>
  <c r="K8" i="3"/>
  <c r="L8" i="3"/>
  <c r="M8" i="3"/>
  <c r="I8" i="3"/>
  <c r="I6" i="3"/>
  <c r="I7" i="3" s="1"/>
  <c r="I9" i="3" s="1"/>
  <c r="J6" i="3"/>
  <c r="J7" i="3" s="1"/>
  <c r="J9" i="3" s="1"/>
  <c r="J12" i="3" s="1"/>
  <c r="K6" i="3"/>
  <c r="K7" i="3" s="1"/>
  <c r="L6" i="3"/>
  <c r="L7" i="3" s="1"/>
  <c r="M6" i="3"/>
  <c r="M7" i="3" s="1"/>
  <c r="I16" i="3" l="1"/>
  <c r="B74" i="2"/>
  <c r="I39" i="2" s="1"/>
  <c r="M9" i="3"/>
  <c r="H62" i="3" s="1"/>
  <c r="M22" i="3" s="1"/>
  <c r="I14" i="3"/>
  <c r="J14" i="3"/>
  <c r="I11" i="3"/>
  <c r="D66" i="3"/>
  <c r="J5" i="4" s="1"/>
  <c r="L9" i="3"/>
  <c r="L16" i="3" s="1"/>
  <c r="C66" i="3"/>
  <c r="I5" i="4" s="1"/>
  <c r="K9" i="3"/>
  <c r="K19" i="3" s="1"/>
  <c r="I12" i="3"/>
  <c r="C74" i="2"/>
  <c r="J39" i="2" s="1"/>
  <c r="J11" i="3"/>
  <c r="C75" i="2" s="1"/>
  <c r="J38" i="2" s="1"/>
  <c r="G78" i="2"/>
  <c r="M19" i="3"/>
  <c r="M16" i="3"/>
  <c r="E62" i="3"/>
  <c r="J16" i="3"/>
  <c r="J19" i="3"/>
  <c r="D62" i="3"/>
  <c r="I22" i="3" s="1"/>
  <c r="I19" i="3"/>
  <c r="L19" i="3" l="1"/>
  <c r="F62" i="3"/>
  <c r="G62" i="3"/>
  <c r="L22" i="3" s="1"/>
  <c r="K16" i="3"/>
  <c r="J43" i="2"/>
  <c r="J44" i="2" s="1"/>
  <c r="J19" i="2"/>
  <c r="J22" i="2" s="1"/>
  <c r="L3" i="4"/>
  <c r="L24" i="3"/>
  <c r="L29" i="3"/>
  <c r="L4" i="4" s="1"/>
  <c r="M3" i="4"/>
  <c r="M24" i="3"/>
  <c r="M29" i="3"/>
  <c r="K12" i="3"/>
  <c r="E66" i="3"/>
  <c r="K5" i="4" s="1"/>
  <c r="D74" i="2"/>
  <c r="K39" i="2" s="1"/>
  <c r="K11" i="3"/>
  <c r="K14" i="3"/>
  <c r="L14" i="3"/>
  <c r="E74" i="2"/>
  <c r="L39" i="2" s="1"/>
  <c r="L12" i="3"/>
  <c r="F66" i="3"/>
  <c r="L5" i="4" s="1"/>
  <c r="L11" i="3"/>
  <c r="B75" i="2"/>
  <c r="I3" i="4"/>
  <c r="I24" i="3"/>
  <c r="I29" i="3" s="1"/>
  <c r="I4" i="4" s="1"/>
  <c r="F74" i="2"/>
  <c r="M39" i="2" s="1"/>
  <c r="M12" i="3"/>
  <c r="G66" i="3"/>
  <c r="M5" i="4" s="1"/>
  <c r="M14" i="3"/>
  <c r="M11" i="3"/>
  <c r="F75" i="2" s="1"/>
  <c r="J22" i="3"/>
  <c r="K22" i="3" l="1"/>
  <c r="D75" i="2"/>
  <c r="M19" i="2"/>
  <c r="M22" i="2" s="1"/>
  <c r="M38" i="2"/>
  <c r="M43" i="2" s="1"/>
  <c r="M44" i="2" s="1"/>
  <c r="M8" i="2"/>
  <c r="M4" i="4"/>
  <c r="M9" i="4"/>
  <c r="I9" i="4"/>
  <c r="I38" i="2"/>
  <c r="I43" i="2" s="1"/>
  <c r="I44" i="2" s="1"/>
  <c r="I19" i="2"/>
  <c r="I22" i="2" s="1"/>
  <c r="L9" i="4"/>
  <c r="E75" i="2"/>
  <c r="J3" i="4"/>
  <c r="J24" i="3"/>
  <c r="J29" i="3" s="1"/>
  <c r="K3" i="4" l="1"/>
  <c r="K24" i="3"/>
  <c r="K29" i="3" s="1"/>
  <c r="K4" i="4" s="1"/>
  <c r="J4" i="4"/>
  <c r="J9" i="4" s="1"/>
  <c r="L19" i="2"/>
  <c r="L22" i="2" s="1"/>
  <c r="L38" i="2"/>
  <c r="L43" i="2" s="1"/>
  <c r="L44" i="2" s="1"/>
  <c r="L8" i="2"/>
  <c r="M10" i="2"/>
  <c r="M23" i="2" s="1"/>
  <c r="K19" i="2"/>
  <c r="K22" i="2" s="1"/>
  <c r="K38" i="2"/>
  <c r="K43" i="2" s="1"/>
  <c r="K44" i="2" s="1"/>
  <c r="K9" i="4" l="1"/>
  <c r="K8" i="2"/>
  <c r="L10" i="2"/>
  <c r="L23" i="2" s="1"/>
  <c r="K10" i="2" l="1"/>
  <c r="K23" i="2" s="1"/>
  <c r="J8" i="2"/>
  <c r="I8" i="2" l="1"/>
  <c r="I10" i="2" s="1"/>
  <c r="I23" i="2" s="1"/>
  <c r="J10" i="2"/>
  <c r="J23" i="2" s="1"/>
</calcChain>
</file>

<file path=xl/sharedStrings.xml><?xml version="1.0" encoding="utf-8"?>
<sst xmlns="http://schemas.openxmlformats.org/spreadsheetml/2006/main" count="189" uniqueCount="144">
  <si>
    <t>Balance Sheet of Hindustan Unilever (in Rs. Cr.)</t>
  </si>
  <si>
    <t>12 mths</t>
  </si>
  <si>
    <t>EQUITIES AND LIABILITIES</t>
  </si>
  <si>
    <t>SHAREHOLDER'S FUNDS</t>
  </si>
  <si>
    <t>Equity Share Capital</t>
  </si>
  <si>
    <t>Total Share Capital</t>
  </si>
  <si>
    <t>Reserves and Surplus</t>
  </si>
  <si>
    <t>Total Reserves and Surplus</t>
  </si>
  <si>
    <t>Total Shareholders Funds</t>
  </si>
  <si>
    <t>NON-CURRENT LIABILITIES</t>
  </si>
  <si>
    <t>Long Term Borrowings</t>
  </si>
  <si>
    <t>Deferred Tax Liabilities [Net]</t>
  </si>
  <si>
    <t>Other Long Term Liabilities</t>
  </si>
  <si>
    <t>Long Term Provisions</t>
  </si>
  <si>
    <t>Total Non-Current Liabilities</t>
  </si>
  <si>
    <t>CURRENT LIABILITIES</t>
  </si>
  <si>
    <t>Short Term Borrowings</t>
  </si>
  <si>
    <t>Trade Payables</t>
  </si>
  <si>
    <t>Other Current Liabilities</t>
  </si>
  <si>
    <t>Short Term Provisions</t>
  </si>
  <si>
    <t>Total Current Liabilities</t>
  </si>
  <si>
    <t>Total Capital And Liabilities</t>
  </si>
  <si>
    <t>ASSETS</t>
  </si>
  <si>
    <t>NON-CURRENT ASSETS</t>
  </si>
  <si>
    <t>Tangible Assets</t>
  </si>
  <si>
    <t>Intangible Assets</t>
  </si>
  <si>
    <t>Capital Work-In-Progress</t>
  </si>
  <si>
    <t>Other Assets</t>
  </si>
  <si>
    <t>Fixed Assets</t>
  </si>
  <si>
    <t>Non-Current Investments</t>
  </si>
  <si>
    <t>Deferred Tax Assets [Net]</t>
  </si>
  <si>
    <t>Long Term Loans And Advances</t>
  </si>
  <si>
    <t>Other Non-Current Assets</t>
  </si>
  <si>
    <t>Total Non-Current Assets</t>
  </si>
  <si>
    <t>CURRENT ASSETS</t>
  </si>
  <si>
    <t>Current Investments</t>
  </si>
  <si>
    <t>Inventories</t>
  </si>
  <si>
    <t>Trade Receivables</t>
  </si>
  <si>
    <t>Cash And Cash Equivalents</t>
  </si>
  <si>
    <t>Short Term Loans And Advances</t>
  </si>
  <si>
    <t>OtherCurrentAssets</t>
  </si>
  <si>
    <t>Total Current Assets</t>
  </si>
  <si>
    <t>Total Assets</t>
  </si>
  <si>
    <t>OTHER ADDITIONAL INFORMATION</t>
  </si>
  <si>
    <t>CONTINGENT LIABILITIES, COMMITMENTS</t>
  </si>
  <si>
    <t>Contingent Liabilities</t>
  </si>
  <si>
    <t>CIF VALUE OF IMPORTS</t>
  </si>
  <si>
    <t>Raw Materials</t>
  </si>
  <si>
    <t>Stores, Spares And Loose Tools</t>
  </si>
  <si>
    <t>Trade/Other Goods</t>
  </si>
  <si>
    <t>Capital Goods</t>
  </si>
  <si>
    <t>EXPENDITURE IN FOREIGN EXCHANGE</t>
  </si>
  <si>
    <t>Expenditure In Foreign Currency</t>
  </si>
  <si>
    <t>REMITTANCES IN FOREIGN CURRENCIES FOR DIVIDENDS</t>
  </si>
  <si>
    <t>Dividend Remittance In Foreign Currency</t>
  </si>
  <si>
    <t>--</t>
  </si>
  <si>
    <t>EARNINGS IN FOREIGN EXCHANGE</t>
  </si>
  <si>
    <t>FOB Value Of Goods</t>
  </si>
  <si>
    <t>Other Earnings</t>
  </si>
  <si>
    <t>BONUS DETAILS</t>
  </si>
  <si>
    <t>Bonus Equity Share Capital</t>
  </si>
  <si>
    <t>NON-CURRENT INVESTMENTS</t>
  </si>
  <si>
    <t>Non-Current Investments Quoted Market Value</t>
  </si>
  <si>
    <t>Non-Current Investments Unquoted Book Value</t>
  </si>
  <si>
    <t>CURRENT INVESTMENTS</t>
  </si>
  <si>
    <t>Current Investments Quoted Market Value</t>
  </si>
  <si>
    <t>Current Investments Unquoted Book Value</t>
  </si>
  <si>
    <t>Profit &amp; Loss account of Hindustan Unilever (in Rs. Cr.)</t>
  </si>
  <si>
    <t>INCOME</t>
  </si>
  <si>
    <t>Revenue From Operations [Gross]</t>
  </si>
  <si>
    <t>Less: Excise/Sevice Tax/Other Levies</t>
  </si>
  <si>
    <t>Revenue From Operations [Net]</t>
  </si>
  <si>
    <t>Total Operating Revenues</t>
  </si>
  <si>
    <t>Other Income</t>
  </si>
  <si>
    <t>Total Revenue</t>
  </si>
  <si>
    <t>EXPENSES</t>
  </si>
  <si>
    <t>Cost Of Materials Consumed</t>
  </si>
  <si>
    <t>Purchase Of Stock-In Trade</t>
  </si>
  <si>
    <t>Operating And Direct Expenses</t>
  </si>
  <si>
    <t>Changes In Inventories Of FG,WIP And Stock-In Trade</t>
  </si>
  <si>
    <t>Employee Benefit Expenses</t>
  </si>
  <si>
    <t>Finance Costs</t>
  </si>
  <si>
    <t>Depreciation And Amortisation Expenses</t>
  </si>
  <si>
    <t>Other Expenses</t>
  </si>
  <si>
    <t>Total Expenses</t>
  </si>
  <si>
    <t>Profit/Loss Before Exceptional, ExtraOrdinary Items And Tax</t>
  </si>
  <si>
    <t>Exceptional Items</t>
  </si>
  <si>
    <t>Profit/Loss Before Tax</t>
  </si>
  <si>
    <t>Tax Expenses-Continued Operations</t>
  </si>
  <si>
    <t>Less: MAT Credit Entitlement</t>
  </si>
  <si>
    <t>Deferred Tax</t>
  </si>
  <si>
    <t>Tax For Earlier Years</t>
  </si>
  <si>
    <t>Total Tax Expenses</t>
  </si>
  <si>
    <t>Profit/Loss After Tax And Before ExtraOrdinary Items</t>
  </si>
  <si>
    <t>Profit/Loss From Continuing Operations</t>
  </si>
  <si>
    <t>Profit/Loss For The Period</t>
  </si>
  <si>
    <t>EARNINGS PER SHARE</t>
  </si>
  <si>
    <t>Basic EPS (Rs.)</t>
  </si>
  <si>
    <t>Diluted EPS (Rs.)</t>
  </si>
  <si>
    <t>VALUE OF IMPORTED AND INDIGENIOUS RAW MATERIALS STORES, SPARES AND LOOSE TOOLS</t>
  </si>
  <si>
    <t>Imported Raw Materials</t>
  </si>
  <si>
    <t>Indigenous Raw Materials</t>
  </si>
  <si>
    <t>STORES, SPARES AND LOOSE TOOLS</t>
  </si>
  <si>
    <t>Imported Stores And Spares</t>
  </si>
  <si>
    <t>Indigenous Stores And Spares</t>
  </si>
  <si>
    <t>DIVIDEND AND DIVIDEND PERCENTAGE</t>
  </si>
  <si>
    <t>Equity Share Dividend</t>
  </si>
  <si>
    <t>Tax On Dividend</t>
  </si>
  <si>
    <t>Equity Dividend Rate (%)</t>
  </si>
  <si>
    <t>Cash Flow of Hindustan Unilever (in Rs. Cr.)</t>
  </si>
  <si>
    <t>Net Profit/Loss Before Extraordinary Items And Tax</t>
  </si>
  <si>
    <t>Net CashFlow From Operating Activities</t>
  </si>
  <si>
    <t>Net Cash Used In Investing Activities</t>
  </si>
  <si>
    <t>Net Cash Used From Financing Activities</t>
  </si>
  <si>
    <t>Foreign Exchange Gains / Losses</t>
  </si>
  <si>
    <t>Adjustments On Amalgamation Merger Demerger Others</t>
  </si>
  <si>
    <t>Net Inc/Dec In Cash And Cash Equivalents</t>
  </si>
  <si>
    <t>Cash And Cash Equivalents Begin of Year</t>
  </si>
  <si>
    <t>Cash And Cash Equivalents End Of Year</t>
  </si>
  <si>
    <t>P-2029</t>
  </si>
  <si>
    <t>P-2028</t>
  </si>
  <si>
    <t>P-2027</t>
  </si>
  <si>
    <t>P-2026</t>
  </si>
  <si>
    <t xml:space="preserve">P-2030 </t>
  </si>
  <si>
    <t>Revenue Growth FY26</t>
  </si>
  <si>
    <t>Revenue Growth FY27</t>
  </si>
  <si>
    <t>Revenue Growth FY28</t>
  </si>
  <si>
    <t>Operating Profit Margin</t>
  </si>
  <si>
    <t>Finance Cost % of Revenue</t>
  </si>
  <si>
    <t>Tax Rate</t>
  </si>
  <si>
    <t>CapEx % of Revenue</t>
  </si>
  <si>
    <t>Working Capital % of Revenue</t>
  </si>
  <si>
    <t>P-2030</t>
  </si>
  <si>
    <t>ASSUMPTIONS</t>
  </si>
  <si>
    <t xml:space="preserve">ASSUMPTION RATE </t>
  </si>
  <si>
    <t xml:space="preserve">Cost Of Materials Consumed as a % of revenue </t>
  </si>
  <si>
    <t xml:space="preserve">Purchase Of Stock-In Tradeas a % of revenue </t>
  </si>
  <si>
    <t xml:space="preserve">TRADE RECEIVABLE AS A % OF REVENUE </t>
  </si>
  <si>
    <t>TRADE PAYABLE AS A % OF COGS</t>
  </si>
  <si>
    <t>COGS</t>
  </si>
  <si>
    <t>CURRENT INVENTORY  AS A % OF COGS</t>
  </si>
  <si>
    <t xml:space="preserve">CapEx </t>
  </si>
  <si>
    <t xml:space="preserve">Depriciation </t>
  </si>
  <si>
    <t>OTHER CURRENT LIABILITY AS A  %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</si>
</sst>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333333"/>
      <name val="Times New Roman"/>
      <family val="1"/>
    </font>
    <font>
      <sz val="12"/>
      <color rgb="FF333333"/>
      <name val="Times New Roman"/>
      <family val="1"/>
    </font>
    <font>
      <b/>
      <sz val="8"/>
      <color rgb="FF333333"/>
      <name val="Times New Roman"/>
      <family val="1"/>
    </font>
    <font>
      <sz val="8"/>
      <color rgb="FF333333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sz val="1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DEE4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rgb="FFD1D1D1"/>
      </top>
      <bottom/>
      <diagonal/>
    </border>
    <border>
      <left/>
      <right/>
      <top/>
      <bottom style="medium">
        <color rgb="FFE0E0E0"/>
      </bottom>
      <diagonal/>
    </border>
    <border>
      <left/>
      <right style="medium">
        <color rgb="FFE0E0E0"/>
      </right>
      <top/>
      <bottom style="medium">
        <color rgb="FFE0E0E0"/>
      </bottom>
      <diagonal/>
    </border>
    <border>
      <left/>
      <right/>
      <top style="medium">
        <color rgb="FFD1D1D1"/>
      </top>
      <bottom style="medium">
        <color rgb="FFE0E0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4" fillId="2" borderId="3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right" vertical="top" wrapText="1"/>
    </xf>
    <xf numFmtId="0" fontId="3" fillId="4" borderId="3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righ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right" vertical="top" wrapText="1"/>
    </xf>
    <xf numFmtId="4" fontId="4" fillId="2" borderId="2" xfId="0" applyNumberFormat="1" applyFont="1" applyFill="1" applyBorder="1" applyAlignment="1">
      <alignment horizontal="right" vertical="top" wrapText="1"/>
    </xf>
    <xf numFmtId="4" fontId="3" fillId="3" borderId="2" xfId="0" applyNumberFormat="1" applyFont="1" applyFill="1" applyBorder="1" applyAlignment="1">
      <alignment horizontal="right" vertical="top" wrapText="1"/>
    </xf>
    <xf numFmtId="0" fontId="3" fillId="3" borderId="5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righ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right" vertical="top" wrapText="1"/>
    </xf>
    <xf numFmtId="0" fontId="6" fillId="2" borderId="5" xfId="0" applyFont="1" applyFill="1" applyBorder="1" applyAlignment="1">
      <alignment horizontal="right" vertical="top" wrapText="1"/>
    </xf>
    <xf numFmtId="4" fontId="3" fillId="3" borderId="5" xfId="0" applyNumberFormat="1" applyFont="1" applyFill="1" applyBorder="1" applyAlignment="1">
      <alignment horizontal="right" vertical="top" wrapText="1"/>
    </xf>
    <xf numFmtId="4" fontId="4" fillId="2" borderId="5" xfId="0" applyNumberFormat="1" applyFont="1" applyFill="1" applyBorder="1" applyAlignment="1">
      <alignment horizontal="right" vertical="top" wrapText="1"/>
    </xf>
    <xf numFmtId="0" fontId="3" fillId="3" borderId="5" xfId="0" applyFont="1" applyFill="1" applyBorder="1" applyAlignment="1">
      <alignment horizontal="right" vertical="top" wrapText="1"/>
    </xf>
    <xf numFmtId="0" fontId="3" fillId="5" borderId="4" xfId="0" applyFont="1" applyFill="1" applyBorder="1" applyAlignment="1">
      <alignment horizontal="left" vertical="top" wrapText="1"/>
    </xf>
    <xf numFmtId="16" fontId="3" fillId="5" borderId="4" xfId="0" applyNumberFormat="1" applyFont="1" applyFill="1" applyBorder="1" applyAlignment="1">
      <alignment horizontal="right" vertical="top" wrapText="1"/>
    </xf>
    <xf numFmtId="0" fontId="3" fillId="5" borderId="4" xfId="0" applyFont="1" applyFill="1" applyBorder="1" applyAlignment="1">
      <alignment horizontal="right" vertical="top" wrapText="1"/>
    </xf>
    <xf numFmtId="0" fontId="3" fillId="5" borderId="5" xfId="0" applyFont="1" applyFill="1" applyBorder="1" applyAlignment="1">
      <alignment horizontal="left" vertical="top" wrapText="1"/>
    </xf>
    <xf numFmtId="16" fontId="3" fillId="5" borderId="5" xfId="0" applyNumberFormat="1" applyFont="1" applyFill="1" applyBorder="1" applyAlignment="1">
      <alignment horizontal="right" vertical="top" wrapText="1"/>
    </xf>
    <xf numFmtId="0" fontId="5" fillId="5" borderId="5" xfId="0" applyFont="1" applyFill="1" applyBorder="1" applyAlignment="1">
      <alignment horizontal="right" vertical="top" wrapText="1"/>
    </xf>
    <xf numFmtId="4" fontId="2" fillId="0" borderId="0" xfId="0" applyNumberFormat="1" applyFont="1"/>
    <xf numFmtId="0" fontId="4" fillId="2" borderId="3" xfId="0" quotePrefix="1" applyFont="1" applyFill="1" applyBorder="1" applyAlignment="1">
      <alignment horizontal="left" vertical="top" wrapText="1"/>
    </xf>
    <xf numFmtId="0" fontId="0" fillId="6" borderId="5" xfId="0" applyFill="1" applyBorder="1"/>
    <xf numFmtId="9" fontId="0" fillId="6" borderId="5" xfId="0" applyNumberFormat="1" applyFill="1" applyBorder="1"/>
    <xf numFmtId="10" fontId="0" fillId="6" borderId="5" xfId="0" applyNumberFormat="1" applyFill="1" applyBorder="1"/>
    <xf numFmtId="0" fontId="2" fillId="6" borderId="5" xfId="0" applyFont="1" applyFill="1" applyBorder="1"/>
    <xf numFmtId="0" fontId="9" fillId="0" borderId="0" xfId="0" applyFont="1"/>
    <xf numFmtId="0" fontId="0" fillId="6" borderId="6" xfId="0" applyFill="1" applyBorder="1"/>
    <xf numFmtId="9" fontId="0" fillId="6" borderId="6" xfId="0" applyNumberFormat="1" applyFill="1" applyBorder="1"/>
    <xf numFmtId="0" fontId="9" fillId="6" borderId="10" xfId="0" applyFont="1" applyFill="1" applyBorder="1"/>
    <xf numFmtId="0" fontId="0" fillId="6" borderId="11" xfId="0" applyFill="1" applyBorder="1"/>
    <xf numFmtId="0" fontId="0" fillId="6" borderId="12" xfId="0" applyFill="1" applyBorder="1"/>
    <xf numFmtId="1" fontId="0" fillId="0" borderId="0" xfId="0" applyNumberFormat="1"/>
    <xf numFmtId="10" fontId="2" fillId="0" borderId="0" xfId="0" applyNumberFormat="1" applyFont="1"/>
    <xf numFmtId="0" fontId="4" fillId="6" borderId="5" xfId="0" applyFont="1" applyFill="1" applyBorder="1" applyAlignment="1">
      <alignment horizontal="left" vertical="top" wrapText="1"/>
    </xf>
    <xf numFmtId="1" fontId="0" fillId="6" borderId="5" xfId="0" applyNumberFormat="1" applyFill="1" applyBorder="1"/>
    <xf numFmtId="2" fontId="0" fillId="6" borderId="5" xfId="0" applyNumberFormat="1" applyFill="1" applyBorder="1"/>
    <xf numFmtId="0" fontId="2" fillId="0" borderId="5" xfId="0" applyFont="1" applyBorder="1"/>
    <xf numFmtId="4" fontId="2" fillId="0" borderId="5" xfId="0" applyNumberFormat="1" applyFont="1" applyBorder="1"/>
    <xf numFmtId="4" fontId="7" fillId="0" borderId="5" xfId="0" applyNumberFormat="1" applyFont="1" applyBorder="1"/>
    <xf numFmtId="164" fontId="2" fillId="0" borderId="5" xfId="0" applyNumberFormat="1" applyFont="1" applyBorder="1"/>
    <xf numFmtId="2" fontId="2" fillId="0" borderId="5" xfId="0" applyNumberFormat="1" applyFont="1" applyBorder="1"/>
    <xf numFmtId="0" fontId="2" fillId="0" borderId="13" xfId="0" applyFont="1" applyBorder="1"/>
    <xf numFmtId="0" fontId="2" fillId="0" borderId="14" xfId="0" applyFont="1" applyBorder="1"/>
    <xf numFmtId="4" fontId="2" fillId="0" borderId="13" xfId="0" applyNumberFormat="1" applyFont="1" applyBorder="1"/>
    <xf numFmtId="4" fontId="2" fillId="0" borderId="14" xfId="0" applyNumberFormat="1" applyFont="1" applyBorder="1"/>
    <xf numFmtId="0" fontId="4" fillId="2" borderId="13" xfId="0" applyFont="1" applyFill="1" applyBorder="1" applyAlignment="1">
      <alignment horizontal="right" vertical="top" wrapText="1"/>
    </xf>
    <xf numFmtId="0" fontId="4" fillId="2" borderId="14" xfId="0" applyFont="1" applyFill="1" applyBorder="1" applyAlignment="1">
      <alignment horizontal="right" vertical="top" wrapText="1"/>
    </xf>
    <xf numFmtId="4" fontId="4" fillId="2" borderId="14" xfId="0" applyNumberFormat="1" applyFont="1" applyFill="1" applyBorder="1" applyAlignment="1">
      <alignment horizontal="right" vertical="top" wrapText="1"/>
    </xf>
    <xf numFmtId="4" fontId="7" fillId="0" borderId="13" xfId="0" applyNumberFormat="1" applyFont="1" applyBorder="1"/>
    <xf numFmtId="4" fontId="7" fillId="0" borderId="14" xfId="0" applyNumberFormat="1" applyFont="1" applyBorder="1"/>
    <xf numFmtId="164" fontId="2" fillId="0" borderId="13" xfId="0" applyNumberFormat="1" applyFont="1" applyBorder="1"/>
    <xf numFmtId="164" fontId="2" fillId="0" borderId="14" xfId="0" applyNumberFormat="1" applyFont="1" applyBorder="1"/>
    <xf numFmtId="2" fontId="2" fillId="0" borderId="13" xfId="0" applyNumberFormat="1" applyFont="1" applyBorder="1"/>
    <xf numFmtId="2" fontId="2" fillId="0" borderId="14" xfId="0" applyNumberFormat="1" applyFont="1" applyBorder="1"/>
    <xf numFmtId="3" fontId="4" fillId="2" borderId="14" xfId="0" applyNumberFormat="1" applyFont="1" applyFill="1" applyBorder="1" applyAlignment="1">
      <alignment horizontal="right" vertical="top" wrapText="1"/>
    </xf>
    <xf numFmtId="4" fontId="7" fillId="0" borderId="15" xfId="0" applyNumberFormat="1" applyFont="1" applyBorder="1"/>
    <xf numFmtId="4" fontId="7" fillId="0" borderId="16" xfId="0" applyNumberFormat="1" applyFont="1" applyBorder="1"/>
    <xf numFmtId="4" fontId="7" fillId="0" borderId="17" xfId="0" applyNumberFormat="1" applyFont="1" applyBorder="1"/>
    <xf numFmtId="0" fontId="2" fillId="0" borderId="18" xfId="0" applyFont="1" applyBorder="1"/>
    <xf numFmtId="0" fontId="2" fillId="0" borderId="6" xfId="0" applyFont="1" applyBorder="1"/>
    <xf numFmtId="0" fontId="2" fillId="0" borderId="19" xfId="0" applyFont="1" applyBorder="1"/>
    <xf numFmtId="0" fontId="2" fillId="5" borderId="7" xfId="0" applyFont="1" applyFill="1" applyBorder="1"/>
    <xf numFmtId="0" fontId="2" fillId="5" borderId="8" xfId="0" applyFont="1" applyFill="1" applyBorder="1"/>
    <xf numFmtId="0" fontId="2" fillId="5" borderId="9" xfId="0" applyFont="1" applyFill="1" applyBorder="1"/>
    <xf numFmtId="0" fontId="7" fillId="0" borderId="5" xfId="0" applyFont="1" applyBorder="1"/>
    <xf numFmtId="0" fontId="7" fillId="5" borderId="7" xfId="0" applyFont="1" applyFill="1" applyBorder="1"/>
    <xf numFmtId="0" fontId="7" fillId="5" borderId="8" xfId="0" applyFont="1" applyFill="1" applyBorder="1"/>
    <xf numFmtId="0" fontId="7" fillId="5" borderId="9" xfId="0" applyFont="1" applyFill="1" applyBorder="1"/>
    <xf numFmtId="0" fontId="7" fillId="0" borderId="13" xfId="0" applyFont="1" applyBorder="1"/>
    <xf numFmtId="0" fontId="7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1" fontId="2" fillId="0" borderId="5" xfId="0" applyNumberFormat="1" applyFont="1" applyBorder="1"/>
    <xf numFmtId="1" fontId="2" fillId="0" borderId="13" xfId="0" applyNumberFormat="1" applyFont="1" applyBorder="1"/>
    <xf numFmtId="1" fontId="2" fillId="0" borderId="14" xfId="0" applyNumberFormat="1" applyFont="1" applyBorder="1"/>
    <xf numFmtId="4" fontId="2" fillId="0" borderId="15" xfId="0" applyNumberFormat="1" applyFont="1" applyBorder="1"/>
    <xf numFmtId="4" fontId="2" fillId="0" borderId="16" xfId="0" applyNumberFormat="1" applyFont="1" applyBorder="1"/>
    <xf numFmtId="4" fontId="2" fillId="0" borderId="17" xfId="0" applyNumberFormat="1" applyFont="1" applyBorder="1"/>
    <xf numFmtId="4" fontId="0" fillId="6" borderId="5" xfId="0" applyNumberFormat="1" applyFill="1" applyBorder="1"/>
    <xf numFmtId="164" fontId="0" fillId="6" borderId="5" xfId="0" applyNumberFormat="1" applyFill="1" applyBorder="1"/>
    <xf numFmtId="0" fontId="0" fillId="6" borderId="20" xfId="0" applyFill="1" applyBorder="1"/>
    <xf numFmtId="0" fontId="0" fillId="6" borderId="21" xfId="0" applyFill="1" applyBorder="1"/>
    <xf numFmtId="0" fontId="0" fillId="6" borderId="22" xfId="0" applyFill="1" applyBorder="1"/>
    <xf numFmtId="0" fontId="0" fillId="6" borderId="13" xfId="0" applyFill="1" applyBorder="1"/>
    <xf numFmtId="4" fontId="0" fillId="6" borderId="14" xfId="0" applyNumberFormat="1" applyFill="1" applyBorder="1"/>
    <xf numFmtId="2" fontId="0" fillId="6" borderId="14" xfId="0" applyNumberFormat="1" applyFill="1" applyBorder="1"/>
    <xf numFmtId="0" fontId="0" fillId="6" borderId="15" xfId="0" applyFill="1" applyBorder="1"/>
    <xf numFmtId="164" fontId="0" fillId="6" borderId="23" xfId="0" applyNumberFormat="1" applyFill="1" applyBorder="1"/>
    <xf numFmtId="164" fontId="0" fillId="6" borderId="24" xfId="0" applyNumberFormat="1" applyFill="1" applyBorder="1"/>
    <xf numFmtId="2" fontId="0" fillId="6" borderId="16" xfId="0" applyNumberFormat="1" applyFill="1" applyBorder="1"/>
    <xf numFmtId="2" fontId="0" fillId="6" borderId="17" xfId="0" applyNumberFormat="1" applyFill="1" applyBorder="1"/>
    <xf numFmtId="2" fontId="0" fillId="6" borderId="25" xfId="0" applyNumberFormat="1" applyFill="1" applyBorder="1"/>
    <xf numFmtId="0" fontId="0" fillId="6" borderId="26" xfId="0" applyFill="1" applyBorder="1"/>
    <xf numFmtId="4" fontId="4" fillId="2" borderId="13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E443C-BF52-4F26-8C44-04B8E51A98F9}">
  <dimension ref="A1:N79"/>
  <sheetViews>
    <sheetView topLeftCell="A29" zoomScale="89" zoomScaleNormal="89" workbookViewId="0">
      <selection activeCell="L13" sqref="L13"/>
    </sheetView>
  </sheetViews>
  <sheetFormatPr defaultRowHeight="14.4" x14ac:dyDescent="0.3"/>
  <cols>
    <col min="1" max="1" width="40.77734375" bestFit="1" customWidth="1"/>
    <col min="2" max="5" width="11.109375" bestFit="1" customWidth="1"/>
    <col min="6" max="6" width="14.6640625" bestFit="1" customWidth="1"/>
    <col min="7" max="7" width="9.5546875" bestFit="1" customWidth="1"/>
    <col min="9" max="13" width="12" bestFit="1" customWidth="1"/>
    <col min="14" max="14" width="12.21875" bestFit="1" customWidth="1"/>
  </cols>
  <sheetData>
    <row r="1" spans="1:13" s="3" customFormat="1" ht="16.2" thickBot="1" x14ac:dyDescent="0.35">
      <c r="A1" s="1"/>
      <c r="B1" s="2"/>
      <c r="C1" s="2"/>
      <c r="D1" s="2"/>
      <c r="E1" s="2"/>
      <c r="F1" s="2"/>
      <c r="G1" s="2"/>
    </row>
    <row r="2" spans="1:13" s="3" customFormat="1" ht="31.8" thickBot="1" x14ac:dyDescent="0.3">
      <c r="A2" s="20" t="s">
        <v>0</v>
      </c>
      <c r="B2" s="21">
        <v>46106</v>
      </c>
      <c r="C2" s="21">
        <v>46105</v>
      </c>
      <c r="D2" s="21">
        <v>46104</v>
      </c>
      <c r="E2" s="21">
        <v>46103</v>
      </c>
      <c r="F2" s="21">
        <v>46102</v>
      </c>
      <c r="G2" s="22"/>
      <c r="I2" s="68" t="s">
        <v>132</v>
      </c>
      <c r="J2" s="69" t="s">
        <v>119</v>
      </c>
      <c r="K2" s="69" t="s">
        <v>120</v>
      </c>
      <c r="L2" s="69" t="s">
        <v>121</v>
      </c>
      <c r="M2" s="70" t="s">
        <v>122</v>
      </c>
    </row>
    <row r="3" spans="1:13" s="3" customFormat="1" ht="16.2" thickBot="1" x14ac:dyDescent="0.3">
      <c r="A3" s="4"/>
      <c r="B3" s="5" t="s">
        <v>1</v>
      </c>
      <c r="C3" s="5" t="s">
        <v>1</v>
      </c>
      <c r="D3" s="5" t="s">
        <v>1</v>
      </c>
      <c r="E3" s="5" t="s">
        <v>1</v>
      </c>
      <c r="F3" s="5" t="s">
        <v>1</v>
      </c>
      <c r="G3" s="5"/>
      <c r="I3" s="65"/>
      <c r="J3" s="66"/>
      <c r="K3" s="66"/>
      <c r="L3" s="66"/>
      <c r="M3" s="67"/>
    </row>
    <row r="4" spans="1:13" s="3" customFormat="1" ht="16.2" thickBot="1" x14ac:dyDescent="0.3">
      <c r="A4" s="6" t="s">
        <v>2</v>
      </c>
      <c r="B4" s="7"/>
      <c r="C4" s="7"/>
      <c r="D4" s="7"/>
      <c r="E4" s="7"/>
      <c r="F4" s="7"/>
      <c r="G4" s="7"/>
      <c r="I4" s="48"/>
      <c r="J4" s="43"/>
      <c r="K4" s="43"/>
      <c r="L4" s="43"/>
      <c r="M4" s="49"/>
    </row>
    <row r="5" spans="1:13" s="3" customFormat="1" ht="16.2" thickBot="1" x14ac:dyDescent="0.3">
      <c r="A5" s="6" t="s">
        <v>3</v>
      </c>
      <c r="B5" s="7"/>
      <c r="C5" s="7"/>
      <c r="D5" s="7"/>
      <c r="E5" s="7"/>
      <c r="F5" s="7"/>
      <c r="G5" s="7"/>
      <c r="I5" s="48"/>
      <c r="J5" s="43"/>
      <c r="K5" s="43"/>
      <c r="L5" s="43"/>
      <c r="M5" s="49"/>
    </row>
    <row r="6" spans="1:13" s="3" customFormat="1" ht="16.2" thickBot="1" x14ac:dyDescent="0.3">
      <c r="A6" s="4" t="s">
        <v>4</v>
      </c>
      <c r="B6" s="5">
        <v>235</v>
      </c>
      <c r="C6" s="5">
        <v>235</v>
      </c>
      <c r="D6" s="5">
        <v>235</v>
      </c>
      <c r="E6" s="5">
        <v>235</v>
      </c>
      <c r="F6" s="5">
        <v>235</v>
      </c>
      <c r="G6" s="5"/>
      <c r="I6" s="48">
        <f>B6</f>
        <v>235</v>
      </c>
      <c r="J6" s="43">
        <f t="shared" ref="J6:M6" si="0">C6</f>
        <v>235</v>
      </c>
      <c r="K6" s="43">
        <f t="shared" si="0"/>
        <v>235</v>
      </c>
      <c r="L6" s="43">
        <f t="shared" si="0"/>
        <v>235</v>
      </c>
      <c r="M6" s="49">
        <f t="shared" si="0"/>
        <v>235</v>
      </c>
    </row>
    <row r="7" spans="1:13" s="3" customFormat="1" ht="16.2" thickBot="1" x14ac:dyDescent="0.3">
      <c r="A7" s="8" t="s">
        <v>5</v>
      </c>
      <c r="B7" s="9">
        <v>235</v>
      </c>
      <c r="C7" s="9">
        <v>235</v>
      </c>
      <c r="D7" s="9">
        <v>235</v>
      </c>
      <c r="E7" s="9">
        <v>235</v>
      </c>
      <c r="F7" s="9">
        <v>235</v>
      </c>
      <c r="G7" s="9"/>
      <c r="I7" s="48"/>
      <c r="J7" s="43"/>
      <c r="K7" s="43"/>
      <c r="L7" s="43"/>
      <c r="M7" s="49"/>
    </row>
    <row r="8" spans="1:13" s="3" customFormat="1" ht="16.2" thickBot="1" x14ac:dyDescent="0.3">
      <c r="A8" s="4" t="s">
        <v>6</v>
      </c>
      <c r="B8" s="10">
        <v>48918</v>
      </c>
      <c r="C8" s="10">
        <v>50738</v>
      </c>
      <c r="D8" s="10">
        <v>49986</v>
      </c>
      <c r="E8" s="10">
        <v>48525</v>
      </c>
      <c r="F8" s="10">
        <v>47199</v>
      </c>
      <c r="G8" s="5"/>
      <c r="I8" s="50">
        <f>J8+'P&amp;L'!I29</f>
        <v>99484.868580000009</v>
      </c>
      <c r="J8" s="44">
        <f>K8+'P&amp;L'!J29</f>
        <v>88223.492445000011</v>
      </c>
      <c r="K8" s="44">
        <f>L8+'P&amp;L'!K29</f>
        <v>77199.698085000011</v>
      </c>
      <c r="L8" s="44">
        <f>M8+'P&amp;L'!L29</f>
        <v>66495.956415000008</v>
      </c>
      <c r="M8" s="51">
        <f>B9+'P&amp;L'!M29</f>
        <v>57260.488320000004</v>
      </c>
    </row>
    <row r="9" spans="1:13" s="3" customFormat="1" ht="16.2" thickBot="1" x14ac:dyDescent="0.3">
      <c r="A9" s="8" t="s">
        <v>7</v>
      </c>
      <c r="B9" s="11">
        <v>48918</v>
      </c>
      <c r="C9" s="11">
        <v>50738</v>
      </c>
      <c r="D9" s="11">
        <v>49986</v>
      </c>
      <c r="E9" s="11">
        <v>48525</v>
      </c>
      <c r="F9" s="11">
        <v>47199</v>
      </c>
      <c r="G9" s="9"/>
      <c r="I9" s="48"/>
      <c r="J9" s="43"/>
      <c r="K9" s="43"/>
      <c r="L9" s="43"/>
      <c r="M9" s="49"/>
    </row>
    <row r="10" spans="1:13" s="3" customFormat="1" ht="16.2" thickBot="1" x14ac:dyDescent="0.3">
      <c r="A10" s="8" t="s">
        <v>8</v>
      </c>
      <c r="B10" s="11">
        <v>49153</v>
      </c>
      <c r="C10" s="11">
        <v>50973</v>
      </c>
      <c r="D10" s="11">
        <v>50221</v>
      </c>
      <c r="E10" s="11">
        <v>48760</v>
      </c>
      <c r="F10" s="11">
        <v>47434</v>
      </c>
      <c r="G10" s="9"/>
      <c r="I10" s="50">
        <f t="shared" ref="I10:L10" si="1">I6+I8</f>
        <v>99719.868580000009</v>
      </c>
      <c r="J10" s="44">
        <f t="shared" si="1"/>
        <v>88458.492445000011</v>
      </c>
      <c r="K10" s="44">
        <f t="shared" si="1"/>
        <v>77434.698085000011</v>
      </c>
      <c r="L10" s="44">
        <f t="shared" si="1"/>
        <v>66730.956415000008</v>
      </c>
      <c r="M10" s="51">
        <f>M6+M8</f>
        <v>57495.488320000004</v>
      </c>
    </row>
    <row r="11" spans="1:13" s="3" customFormat="1" ht="16.2" thickBot="1" x14ac:dyDescent="0.3">
      <c r="A11" s="6" t="s">
        <v>9</v>
      </c>
      <c r="B11" s="7"/>
      <c r="C11" s="7"/>
      <c r="D11" s="7"/>
      <c r="E11" s="7"/>
      <c r="F11" s="7"/>
      <c r="G11" s="7"/>
      <c r="I11" s="48"/>
      <c r="J11" s="43"/>
      <c r="K11" s="43"/>
      <c r="L11" s="43"/>
      <c r="M11" s="49"/>
    </row>
    <row r="12" spans="1:13" s="3" customFormat="1" ht="16.2" thickBot="1" x14ac:dyDescent="0.3">
      <c r="A12" s="4" t="s">
        <v>10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/>
      <c r="H12" s="5"/>
      <c r="I12" s="52">
        <v>0</v>
      </c>
      <c r="J12" s="15">
        <v>0</v>
      </c>
      <c r="K12" s="15">
        <v>0</v>
      </c>
      <c r="L12" s="15">
        <v>0</v>
      </c>
      <c r="M12" s="53">
        <v>0</v>
      </c>
    </row>
    <row r="13" spans="1:13" s="3" customFormat="1" ht="16.2" thickBot="1" x14ac:dyDescent="0.3">
      <c r="A13" s="4" t="s">
        <v>11</v>
      </c>
      <c r="B13" s="10">
        <v>6583</v>
      </c>
      <c r="C13" s="10">
        <v>6454</v>
      </c>
      <c r="D13" s="10">
        <v>6325</v>
      </c>
      <c r="E13" s="10">
        <v>6141</v>
      </c>
      <c r="F13" s="10">
        <v>5986</v>
      </c>
      <c r="G13" s="5"/>
      <c r="I13" s="50">
        <f t="shared" ref="I13:K13" si="2">$B$13</f>
        <v>6583</v>
      </c>
      <c r="J13" s="44">
        <f t="shared" si="2"/>
        <v>6583</v>
      </c>
      <c r="K13" s="44">
        <f t="shared" si="2"/>
        <v>6583</v>
      </c>
      <c r="L13" s="44">
        <f>$B$13</f>
        <v>6583</v>
      </c>
      <c r="M13" s="51">
        <f>B13</f>
        <v>6583</v>
      </c>
    </row>
    <row r="14" spans="1:13" s="3" customFormat="1" ht="16.2" thickBot="1" x14ac:dyDescent="0.3">
      <c r="A14" s="4" t="s">
        <v>12</v>
      </c>
      <c r="B14" s="10">
        <v>5396</v>
      </c>
      <c r="C14" s="10">
        <v>5695</v>
      </c>
      <c r="D14" s="10">
        <v>2317</v>
      </c>
      <c r="E14" s="10">
        <v>2339</v>
      </c>
      <c r="F14" s="10">
        <v>2304</v>
      </c>
      <c r="G14" s="5"/>
      <c r="I14" s="50">
        <f t="shared" ref="I14:L14" si="3">$B$14</f>
        <v>5396</v>
      </c>
      <c r="J14" s="44">
        <f t="shared" si="3"/>
        <v>5396</v>
      </c>
      <c r="K14" s="44">
        <f t="shared" si="3"/>
        <v>5396</v>
      </c>
      <c r="L14" s="44">
        <f t="shared" si="3"/>
        <v>5396</v>
      </c>
      <c r="M14" s="51">
        <f>$B$14</f>
        <v>5396</v>
      </c>
    </row>
    <row r="15" spans="1:13" s="3" customFormat="1" ht="16.2" thickBot="1" x14ac:dyDescent="0.3">
      <c r="A15" s="4" t="s">
        <v>13</v>
      </c>
      <c r="B15" s="10">
        <v>1509</v>
      </c>
      <c r="C15" s="10">
        <v>1551</v>
      </c>
      <c r="D15" s="10">
        <v>1335</v>
      </c>
      <c r="E15" s="10">
        <v>1553</v>
      </c>
      <c r="F15" s="10">
        <v>1551</v>
      </c>
      <c r="G15" s="5"/>
      <c r="I15" s="50">
        <f t="shared" ref="I15:L15" si="4">$B$15</f>
        <v>1509</v>
      </c>
      <c r="J15" s="44">
        <f t="shared" si="4"/>
        <v>1509</v>
      </c>
      <c r="K15" s="44">
        <f t="shared" si="4"/>
        <v>1509</v>
      </c>
      <c r="L15" s="44">
        <f t="shared" si="4"/>
        <v>1509</v>
      </c>
      <c r="M15" s="51">
        <f>$B$15</f>
        <v>1509</v>
      </c>
    </row>
    <row r="16" spans="1:13" s="3" customFormat="1" ht="16.2" thickBot="1" x14ac:dyDescent="0.3">
      <c r="A16" s="8" t="s">
        <v>14</v>
      </c>
      <c r="B16" s="11">
        <v>13488</v>
      </c>
      <c r="C16" s="11">
        <v>13700</v>
      </c>
      <c r="D16" s="11">
        <v>9977</v>
      </c>
      <c r="E16" s="11">
        <v>10033</v>
      </c>
      <c r="F16" s="11">
        <v>9841</v>
      </c>
      <c r="G16" s="9"/>
      <c r="I16" s="50">
        <f t="shared" ref="I16:L16" si="5">$B$16</f>
        <v>13488</v>
      </c>
      <c r="J16" s="44">
        <f t="shared" si="5"/>
        <v>13488</v>
      </c>
      <c r="K16" s="44">
        <f t="shared" si="5"/>
        <v>13488</v>
      </c>
      <c r="L16" s="44">
        <f t="shared" si="5"/>
        <v>13488</v>
      </c>
      <c r="M16" s="51">
        <f>$B$16</f>
        <v>13488</v>
      </c>
    </row>
    <row r="17" spans="1:14" s="3" customFormat="1" ht="16.2" thickBot="1" x14ac:dyDescent="0.3">
      <c r="A17" s="6" t="s">
        <v>15</v>
      </c>
      <c r="B17" s="7"/>
      <c r="C17" s="7"/>
      <c r="D17" s="7"/>
      <c r="E17" s="7"/>
      <c r="F17" s="7"/>
      <c r="G17" s="7"/>
      <c r="I17" s="48"/>
      <c r="J17" s="43"/>
      <c r="K17" s="43"/>
      <c r="L17" s="43"/>
      <c r="M17" s="49"/>
    </row>
    <row r="18" spans="1:14" s="3" customFormat="1" ht="16.2" thickBot="1" x14ac:dyDescent="0.3">
      <c r="A18" s="4" t="s">
        <v>16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/>
      <c r="I18" s="48"/>
      <c r="J18" s="43"/>
      <c r="K18" s="43"/>
      <c r="L18" s="43"/>
      <c r="M18" s="49"/>
    </row>
    <row r="19" spans="1:14" s="3" customFormat="1" ht="16.2" thickBot="1" x14ac:dyDescent="0.3">
      <c r="A19" s="4" t="s">
        <v>17</v>
      </c>
      <c r="B19" s="10">
        <v>10998</v>
      </c>
      <c r="C19" s="10">
        <v>10148</v>
      </c>
      <c r="D19" s="10">
        <v>9391</v>
      </c>
      <c r="E19" s="10">
        <v>8864</v>
      </c>
      <c r="F19" s="10">
        <v>8627</v>
      </c>
      <c r="G19" s="5"/>
      <c r="I19" s="48">
        <f t="shared" ref="I19:L19" si="6">B75*B77%</f>
        <v>11511.053908629443</v>
      </c>
      <c r="J19" s="43">
        <f t="shared" si="6"/>
        <v>11268.204670050762</v>
      </c>
      <c r="K19" s="43">
        <f t="shared" si="6"/>
        <v>10941.056040609139</v>
      </c>
      <c r="L19" s="43">
        <f t="shared" si="6"/>
        <v>9440.2291370558378</v>
      </c>
      <c r="M19" s="49">
        <f>F75*F77%</f>
        <v>8527.450964467007</v>
      </c>
    </row>
    <row r="20" spans="1:14" s="3" customFormat="1" ht="16.2" thickBot="1" x14ac:dyDescent="0.3">
      <c r="A20" s="4" t="s">
        <v>18</v>
      </c>
      <c r="B20" s="10">
        <v>4013</v>
      </c>
      <c r="C20" s="10">
        <v>1926</v>
      </c>
      <c r="D20" s="10">
        <v>1857</v>
      </c>
      <c r="E20" s="10">
        <v>1746</v>
      </c>
      <c r="F20" s="10">
        <v>1723</v>
      </c>
      <c r="G20" s="5"/>
      <c r="I20" s="101">
        <f t="shared" ref="I20:L20" si="7">B74*B79%</f>
        <v>4200.2054314720808</v>
      </c>
      <c r="J20" s="18">
        <f t="shared" si="7"/>
        <v>4111.5935025380713</v>
      </c>
      <c r="K20" s="18">
        <f t="shared" si="7"/>
        <v>3992.2220304568532</v>
      </c>
      <c r="L20" s="18">
        <f t="shared" si="7"/>
        <v>3444.5935194585454</v>
      </c>
      <c r="M20" s="54">
        <f>F74*F79%</f>
        <v>3111.5348900169206</v>
      </c>
    </row>
    <row r="21" spans="1:14" s="3" customFormat="1" ht="16.2" thickBot="1" x14ac:dyDescent="0.3">
      <c r="A21" s="4" t="s">
        <v>19</v>
      </c>
      <c r="B21" s="5">
        <v>661</v>
      </c>
      <c r="C21" s="5">
        <v>329</v>
      </c>
      <c r="D21" s="5">
        <v>379</v>
      </c>
      <c r="E21" s="5">
        <v>334</v>
      </c>
      <c r="F21" s="5">
        <v>491</v>
      </c>
      <c r="G21" s="5"/>
      <c r="I21" s="52">
        <v>661</v>
      </c>
      <c r="J21" s="15">
        <v>661</v>
      </c>
      <c r="K21" s="15">
        <v>661</v>
      </c>
      <c r="L21" s="15">
        <v>661</v>
      </c>
      <c r="M21" s="53">
        <v>661</v>
      </c>
    </row>
    <row r="22" spans="1:14" s="3" customFormat="1" ht="16.2" thickBot="1" x14ac:dyDescent="0.3">
      <c r="A22" s="8" t="s">
        <v>20</v>
      </c>
      <c r="B22" s="11">
        <v>15672</v>
      </c>
      <c r="C22" s="11">
        <v>12403</v>
      </c>
      <c r="D22" s="11">
        <v>11627</v>
      </c>
      <c r="E22" s="11">
        <v>10944</v>
      </c>
      <c r="F22" s="11">
        <v>10841</v>
      </c>
      <c r="G22" s="9"/>
      <c r="I22" s="48">
        <f t="shared" ref="I22:L22" si="8">SUM(I19:I21)</f>
        <v>16372.259340101524</v>
      </c>
      <c r="J22" s="43">
        <f t="shared" si="8"/>
        <v>16040.798172588833</v>
      </c>
      <c r="K22" s="43">
        <f t="shared" si="8"/>
        <v>15594.278071065992</v>
      </c>
      <c r="L22" s="43">
        <f t="shared" si="8"/>
        <v>13545.822656514383</v>
      </c>
      <c r="M22" s="49">
        <f>SUM(M19:M21)</f>
        <v>12299.985854483928</v>
      </c>
    </row>
    <row r="23" spans="1:14" s="3" customFormat="1" ht="16.2" thickBot="1" x14ac:dyDescent="0.3">
      <c r="A23" s="8" t="s">
        <v>21</v>
      </c>
      <c r="B23" s="11">
        <v>78313</v>
      </c>
      <c r="C23" s="11">
        <v>77076</v>
      </c>
      <c r="D23" s="11">
        <v>71825</v>
      </c>
      <c r="E23" s="11">
        <v>69737</v>
      </c>
      <c r="F23" s="11">
        <v>68116</v>
      </c>
      <c r="G23" s="9"/>
      <c r="I23" s="50">
        <f t="shared" ref="I23:J23" si="9">I10+I16+I22</f>
        <v>129580.12792010153</v>
      </c>
      <c r="J23" s="44">
        <f t="shared" si="9"/>
        <v>117987.29061758885</v>
      </c>
      <c r="K23" s="44">
        <f>K10+K16+K22</f>
        <v>106516.976156066</v>
      </c>
      <c r="L23" s="44">
        <f>L10+L16+L22</f>
        <v>93764.779071514393</v>
      </c>
      <c r="M23" s="51">
        <f>M10+M16+M22</f>
        <v>83283.474174483927</v>
      </c>
    </row>
    <row r="24" spans="1:14" s="3" customFormat="1" ht="16.2" thickBot="1" x14ac:dyDescent="0.3">
      <c r="A24" s="6" t="s">
        <v>22</v>
      </c>
      <c r="B24" s="7"/>
      <c r="C24" s="7"/>
      <c r="D24" s="7"/>
      <c r="E24" s="7"/>
      <c r="F24" s="7"/>
      <c r="G24" s="7"/>
      <c r="I24" s="48"/>
      <c r="J24" s="43"/>
      <c r="K24" s="43"/>
      <c r="L24" s="43"/>
      <c r="M24" s="49"/>
    </row>
    <row r="25" spans="1:14" s="3" customFormat="1" ht="16.2" thickBot="1" x14ac:dyDescent="0.3">
      <c r="A25" s="6" t="s">
        <v>23</v>
      </c>
      <c r="B25" s="7"/>
      <c r="C25" s="7"/>
      <c r="D25" s="7"/>
      <c r="E25" s="7"/>
      <c r="F25" s="7"/>
      <c r="G25" s="7"/>
      <c r="I25" s="48"/>
      <c r="J25" s="43"/>
      <c r="K25" s="43"/>
      <c r="L25" s="43"/>
      <c r="M25" s="49"/>
    </row>
    <row r="26" spans="1:14" s="3" customFormat="1" ht="16.2" thickBot="1" x14ac:dyDescent="0.3">
      <c r="A26" s="4" t="s">
        <v>24</v>
      </c>
      <c r="B26" s="10">
        <v>7710</v>
      </c>
      <c r="C26" s="10">
        <v>7178</v>
      </c>
      <c r="D26" s="10">
        <v>6189</v>
      </c>
      <c r="E26" s="10">
        <v>5813</v>
      </c>
      <c r="F26" s="10">
        <v>5786</v>
      </c>
      <c r="G26" s="5"/>
      <c r="I26" s="50">
        <f t="shared" ref="I26:K26" si="10">J26*84%</f>
        <v>3224.4140759039992</v>
      </c>
      <c r="J26" s="44">
        <f t="shared" si="10"/>
        <v>3838.5881855999992</v>
      </c>
      <c r="K26" s="44">
        <f t="shared" si="10"/>
        <v>4569.7478399999991</v>
      </c>
      <c r="L26" s="44">
        <f>M26*84%</f>
        <v>5440.1759999999995</v>
      </c>
      <c r="M26" s="51">
        <f>B26*84%</f>
        <v>6476.4</v>
      </c>
    </row>
    <row r="27" spans="1:14" s="3" customFormat="1" ht="16.2" thickBot="1" x14ac:dyDescent="0.3">
      <c r="A27" s="4" t="s">
        <v>25</v>
      </c>
      <c r="B27" s="10">
        <v>45197</v>
      </c>
      <c r="C27" s="10">
        <v>45201</v>
      </c>
      <c r="D27" s="10">
        <v>45216</v>
      </c>
      <c r="E27" s="10">
        <v>45221</v>
      </c>
      <c r="F27" s="10">
        <v>45241</v>
      </c>
      <c r="G27" s="5"/>
      <c r="I27" s="50">
        <f t="shared" ref="I27:K27" si="11">J27*84%</f>
        <v>18901.925160652794</v>
      </c>
      <c r="J27" s="44">
        <f t="shared" si="11"/>
        <v>22502.291857919994</v>
      </c>
      <c r="K27" s="44">
        <f t="shared" si="11"/>
        <v>26788.442687999996</v>
      </c>
      <c r="L27" s="44">
        <f>M27*84%</f>
        <v>31891.003199999996</v>
      </c>
      <c r="M27" s="49">
        <f>B27*84%</f>
        <v>37965.479999999996</v>
      </c>
      <c r="N27" s="39"/>
    </row>
    <row r="28" spans="1:14" s="3" customFormat="1" ht="16.2" thickBot="1" x14ac:dyDescent="0.3">
      <c r="A28" s="4" t="s">
        <v>26</v>
      </c>
      <c r="B28" s="5">
        <v>956</v>
      </c>
      <c r="C28" s="5">
        <v>915</v>
      </c>
      <c r="D28" s="10">
        <v>1020</v>
      </c>
      <c r="E28" s="5">
        <v>901</v>
      </c>
      <c r="F28" s="5">
        <v>623</v>
      </c>
      <c r="G28" s="5"/>
      <c r="I28" s="48">
        <f t="shared" ref="I28:L28" si="12">$B$28</f>
        <v>956</v>
      </c>
      <c r="J28" s="43">
        <f t="shared" si="12"/>
        <v>956</v>
      </c>
      <c r="K28" s="43">
        <f t="shared" si="12"/>
        <v>956</v>
      </c>
      <c r="L28" s="43">
        <f t="shared" si="12"/>
        <v>956</v>
      </c>
      <c r="M28" s="49">
        <f>$B$28</f>
        <v>956</v>
      </c>
    </row>
    <row r="29" spans="1:14" s="3" customFormat="1" ht="16.2" thickBot="1" x14ac:dyDescent="0.3">
      <c r="A29" s="4" t="s">
        <v>27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/>
      <c r="I29" s="48">
        <f t="shared" ref="I29:L29" si="13">$B$29</f>
        <v>0</v>
      </c>
      <c r="J29" s="43">
        <f t="shared" si="13"/>
        <v>0</v>
      </c>
      <c r="K29" s="43">
        <f t="shared" si="13"/>
        <v>0</v>
      </c>
      <c r="L29" s="43">
        <f t="shared" si="13"/>
        <v>0</v>
      </c>
      <c r="M29" s="49">
        <f>$B$29</f>
        <v>0</v>
      </c>
    </row>
    <row r="30" spans="1:14" s="3" customFormat="1" ht="16.2" thickBot="1" x14ac:dyDescent="0.3">
      <c r="A30" s="8" t="s">
        <v>28</v>
      </c>
      <c r="B30" s="11">
        <v>53863</v>
      </c>
      <c r="C30" s="11">
        <v>53294</v>
      </c>
      <c r="D30" s="11">
        <v>52425</v>
      </c>
      <c r="E30" s="11">
        <v>51935</v>
      </c>
      <c r="F30" s="11">
        <v>51650</v>
      </c>
      <c r="G30" s="9"/>
      <c r="I30" s="50">
        <f t="shared" ref="I30:L30" si="14">$B$30</f>
        <v>53863</v>
      </c>
      <c r="J30" s="44">
        <f t="shared" si="14"/>
        <v>53863</v>
      </c>
      <c r="K30" s="44">
        <f t="shared" si="14"/>
        <v>53863</v>
      </c>
      <c r="L30" s="44">
        <f t="shared" si="14"/>
        <v>53863</v>
      </c>
      <c r="M30" s="51">
        <f>$B$30</f>
        <v>53863</v>
      </c>
    </row>
    <row r="31" spans="1:14" s="3" customFormat="1" ht="16.2" thickBot="1" x14ac:dyDescent="0.3">
      <c r="A31" s="4" t="s">
        <v>29</v>
      </c>
      <c r="B31" s="5">
        <v>988</v>
      </c>
      <c r="C31" s="5">
        <v>983</v>
      </c>
      <c r="D31" s="5">
        <v>983</v>
      </c>
      <c r="E31" s="5">
        <v>612</v>
      </c>
      <c r="F31" s="5">
        <v>312</v>
      </c>
      <c r="G31" s="5"/>
      <c r="I31" s="48"/>
      <c r="J31" s="43"/>
      <c r="K31" s="43"/>
      <c r="L31" s="43"/>
      <c r="M31" s="49"/>
    </row>
    <row r="32" spans="1:14" s="3" customFormat="1" ht="16.2" thickBot="1" x14ac:dyDescent="0.3">
      <c r="A32" s="4" t="s">
        <v>30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/>
      <c r="I32" s="48"/>
      <c r="J32" s="43"/>
      <c r="K32" s="43"/>
      <c r="L32" s="43"/>
      <c r="M32" s="49"/>
    </row>
    <row r="33" spans="1:13" s="3" customFormat="1" ht="16.2" thickBot="1" x14ac:dyDescent="0.3">
      <c r="A33" s="4" t="s">
        <v>31</v>
      </c>
      <c r="B33" s="5">
        <v>332</v>
      </c>
      <c r="C33" s="5">
        <v>392</v>
      </c>
      <c r="D33" s="5">
        <v>339</v>
      </c>
      <c r="E33" s="5">
        <v>541</v>
      </c>
      <c r="F33" s="5">
        <v>520</v>
      </c>
      <c r="G33" s="5"/>
      <c r="I33" s="48"/>
      <c r="J33" s="43"/>
      <c r="K33" s="43"/>
      <c r="L33" s="43"/>
      <c r="M33" s="49"/>
    </row>
    <row r="34" spans="1:13" s="3" customFormat="1" ht="16.2" thickBot="1" x14ac:dyDescent="0.3">
      <c r="A34" s="4" t="s">
        <v>32</v>
      </c>
      <c r="B34" s="10">
        <v>2231</v>
      </c>
      <c r="C34" s="10">
        <v>2111</v>
      </c>
      <c r="D34" s="10">
        <v>2029</v>
      </c>
      <c r="E34" s="10">
        <v>2002</v>
      </c>
      <c r="F34" s="10">
        <v>1994</v>
      </c>
      <c r="G34" s="5"/>
      <c r="I34" s="48"/>
      <c r="J34" s="43"/>
      <c r="K34" s="43"/>
      <c r="L34" s="43"/>
      <c r="M34" s="49"/>
    </row>
    <row r="35" spans="1:13" s="3" customFormat="1" ht="16.2" thickBot="1" x14ac:dyDescent="0.3">
      <c r="A35" s="8" t="s">
        <v>33</v>
      </c>
      <c r="B35" s="11">
        <v>57414</v>
      </c>
      <c r="C35" s="11">
        <v>56780</v>
      </c>
      <c r="D35" s="11">
        <v>55776</v>
      </c>
      <c r="E35" s="11">
        <v>55090</v>
      </c>
      <c r="F35" s="11">
        <v>54476</v>
      </c>
      <c r="G35" s="9"/>
      <c r="I35" s="55">
        <f t="shared" ref="I35:L35" si="15">$B$35</f>
        <v>57414</v>
      </c>
      <c r="J35" s="45">
        <f t="shared" si="15"/>
        <v>57414</v>
      </c>
      <c r="K35" s="45">
        <f t="shared" si="15"/>
        <v>57414</v>
      </c>
      <c r="L35" s="45">
        <f t="shared" si="15"/>
        <v>57414</v>
      </c>
      <c r="M35" s="56">
        <f>$B$35</f>
        <v>57414</v>
      </c>
    </row>
    <row r="36" spans="1:13" s="3" customFormat="1" ht="16.2" thickBot="1" x14ac:dyDescent="0.3">
      <c r="A36" s="6" t="s">
        <v>34</v>
      </c>
      <c r="B36" s="7"/>
      <c r="C36" s="7"/>
      <c r="D36" s="7"/>
      <c r="E36" s="7"/>
      <c r="F36" s="7"/>
      <c r="G36" s="7"/>
      <c r="I36" s="48"/>
      <c r="J36" s="43"/>
      <c r="K36" s="43"/>
      <c r="L36" s="43"/>
      <c r="M36" s="49"/>
    </row>
    <row r="37" spans="1:13" s="3" customFormat="1" ht="16.2" thickBot="1" x14ac:dyDescent="0.3">
      <c r="A37" s="4" t="s">
        <v>35</v>
      </c>
      <c r="B37" s="10">
        <v>3614</v>
      </c>
      <c r="C37" s="10">
        <v>4510</v>
      </c>
      <c r="D37" s="10">
        <v>2811</v>
      </c>
      <c r="E37" s="10">
        <v>3510</v>
      </c>
      <c r="F37" s="10">
        <v>2683</v>
      </c>
      <c r="G37" s="5"/>
      <c r="I37" s="50">
        <f t="shared" ref="I37:L37" si="16">$B$37</f>
        <v>3614</v>
      </c>
      <c r="J37" s="44">
        <f t="shared" si="16"/>
        <v>3614</v>
      </c>
      <c r="K37" s="44">
        <f t="shared" si="16"/>
        <v>3614</v>
      </c>
      <c r="L37" s="44">
        <f t="shared" si="16"/>
        <v>3614</v>
      </c>
      <c r="M37" s="51">
        <f>$B$37</f>
        <v>3614</v>
      </c>
    </row>
    <row r="38" spans="1:13" s="3" customFormat="1" ht="16.2" thickBot="1" x14ac:dyDescent="0.3">
      <c r="A38" s="4" t="s">
        <v>36</v>
      </c>
      <c r="B38" s="10">
        <v>4161</v>
      </c>
      <c r="C38" s="10">
        <v>3812</v>
      </c>
      <c r="D38" s="10">
        <v>4031</v>
      </c>
      <c r="E38" s="10">
        <v>3890</v>
      </c>
      <c r="F38" s="10">
        <v>3383</v>
      </c>
      <c r="G38" s="5"/>
      <c r="I38" s="57">
        <f t="shared" ref="I38:L38" si="17">B75*B78%</f>
        <v>4355.1095939086299</v>
      </c>
      <c r="J38" s="46">
        <f t="shared" si="17"/>
        <v>4263.2296446700511</v>
      </c>
      <c r="K38" s="46">
        <f t="shared" si="17"/>
        <v>4139.4557360406097</v>
      </c>
      <c r="L38" s="46">
        <f t="shared" si="17"/>
        <v>3571.6306091370566</v>
      </c>
      <c r="M38" s="58">
        <f>F75*F78%</f>
        <v>3226.2887309644675</v>
      </c>
    </row>
    <row r="39" spans="1:13" s="3" customFormat="1" ht="16.2" thickBot="1" x14ac:dyDescent="0.3">
      <c r="A39" s="4" t="s">
        <v>37</v>
      </c>
      <c r="B39" s="10">
        <v>3450</v>
      </c>
      <c r="C39" s="10">
        <v>2690</v>
      </c>
      <c r="D39" s="10">
        <v>2735</v>
      </c>
      <c r="E39" s="10">
        <v>1932</v>
      </c>
      <c r="F39" s="10">
        <v>1648</v>
      </c>
      <c r="G39" s="5"/>
      <c r="I39" s="59">
        <f t="shared" ref="I39:L39" si="18">B74*B76%</f>
        <v>3610.9416243654823</v>
      </c>
      <c r="J39" s="47">
        <f t="shared" si="18"/>
        <v>3534.7614213197971</v>
      </c>
      <c r="K39" s="47">
        <f t="shared" si="18"/>
        <v>3432.1370558375638</v>
      </c>
      <c r="L39" s="47">
        <f t="shared" si="18"/>
        <v>2961.337563451777</v>
      </c>
      <c r="M39" s="60">
        <f>F74*F76%</f>
        <v>2675.0050761421321</v>
      </c>
    </row>
    <row r="40" spans="1:13" s="3" customFormat="1" ht="16.2" thickBot="1" x14ac:dyDescent="0.3">
      <c r="A40" s="4" t="s">
        <v>38</v>
      </c>
      <c r="B40" s="10">
        <v>7293</v>
      </c>
      <c r="C40" s="10">
        <v>7216</v>
      </c>
      <c r="D40" s="10">
        <v>4422</v>
      </c>
      <c r="E40" s="10">
        <v>3618</v>
      </c>
      <c r="F40" s="10">
        <v>4321</v>
      </c>
      <c r="G40" s="5"/>
      <c r="I40" s="48">
        <v>7293</v>
      </c>
      <c r="J40" s="43">
        <v>7293</v>
      </c>
      <c r="K40" s="43">
        <v>7293</v>
      </c>
      <c r="L40" s="43">
        <v>7293</v>
      </c>
      <c r="M40" s="61">
        <v>7293</v>
      </c>
    </row>
    <row r="41" spans="1:13" s="3" customFormat="1" ht="16.2" thickBot="1" x14ac:dyDescent="0.3">
      <c r="A41" s="4" t="s">
        <v>39</v>
      </c>
      <c r="B41" s="5">
        <v>45</v>
      </c>
      <c r="C41" s="5">
        <v>37</v>
      </c>
      <c r="D41" s="5">
        <v>35</v>
      </c>
      <c r="E41" s="5">
        <v>34</v>
      </c>
      <c r="F41" s="5">
        <v>0</v>
      </c>
      <c r="G41" s="5"/>
      <c r="I41" s="48">
        <f t="shared" ref="I41:L41" si="19">$B$41</f>
        <v>45</v>
      </c>
      <c r="J41" s="43">
        <f t="shared" si="19"/>
        <v>45</v>
      </c>
      <c r="K41" s="43">
        <f t="shared" si="19"/>
        <v>45</v>
      </c>
      <c r="L41" s="43">
        <f t="shared" si="19"/>
        <v>45</v>
      </c>
      <c r="M41" s="49">
        <f>$B$41</f>
        <v>45</v>
      </c>
    </row>
    <row r="42" spans="1:13" s="3" customFormat="1" ht="16.2" thickBot="1" x14ac:dyDescent="0.3">
      <c r="A42" s="4" t="s">
        <v>40</v>
      </c>
      <c r="B42" s="10">
        <v>2336</v>
      </c>
      <c r="C42" s="10">
        <v>2031</v>
      </c>
      <c r="D42" s="10">
        <v>2015</v>
      </c>
      <c r="E42" s="10">
        <v>1663</v>
      </c>
      <c r="F42" s="10">
        <v>1605</v>
      </c>
      <c r="G42" s="5"/>
      <c r="I42" s="50">
        <f t="shared" ref="I42:L42" si="20">$B$42</f>
        <v>2336</v>
      </c>
      <c r="J42" s="44">
        <f t="shared" si="20"/>
        <v>2336</v>
      </c>
      <c r="K42" s="44">
        <f t="shared" si="20"/>
        <v>2336</v>
      </c>
      <c r="L42" s="44">
        <f t="shared" si="20"/>
        <v>2336</v>
      </c>
      <c r="M42" s="51">
        <f>$B$42</f>
        <v>2336</v>
      </c>
    </row>
    <row r="43" spans="1:13" s="3" customFormat="1" ht="16.2" thickBot="1" x14ac:dyDescent="0.3">
      <c r="A43" s="8" t="s">
        <v>41</v>
      </c>
      <c r="B43" s="11">
        <v>20899</v>
      </c>
      <c r="C43" s="11">
        <v>20296</v>
      </c>
      <c r="D43" s="11">
        <v>16049</v>
      </c>
      <c r="E43" s="11">
        <v>14647</v>
      </c>
      <c r="F43" s="11">
        <v>13640</v>
      </c>
      <c r="G43" s="9"/>
      <c r="I43" s="50">
        <f t="shared" ref="I43:L43" si="21">SUM(I37:I42)</f>
        <v>21254.051218274111</v>
      </c>
      <c r="J43" s="44">
        <f t="shared" si="21"/>
        <v>21085.991065989849</v>
      </c>
      <c r="K43" s="44">
        <f t="shared" si="21"/>
        <v>20859.592791878174</v>
      </c>
      <c r="L43" s="44">
        <f t="shared" si="21"/>
        <v>19820.968172588833</v>
      </c>
      <c r="M43" s="51">
        <f>SUM(M37:M42)</f>
        <v>19189.293807106602</v>
      </c>
    </row>
    <row r="44" spans="1:13" s="3" customFormat="1" ht="16.2" thickBot="1" x14ac:dyDescent="0.3">
      <c r="A44" s="8" t="s">
        <v>42</v>
      </c>
      <c r="B44" s="11">
        <v>78313</v>
      </c>
      <c r="C44" s="11">
        <v>77076</v>
      </c>
      <c r="D44" s="11">
        <v>71825</v>
      </c>
      <c r="E44" s="11">
        <v>69737</v>
      </c>
      <c r="F44" s="11">
        <v>68116</v>
      </c>
      <c r="G44" s="9"/>
      <c r="I44" s="62">
        <f t="shared" ref="I44:L44" si="22">SUM(I35+I43)</f>
        <v>78668.051218274108</v>
      </c>
      <c r="J44" s="63">
        <f t="shared" si="22"/>
        <v>78499.991065989845</v>
      </c>
      <c r="K44" s="63">
        <f t="shared" si="22"/>
        <v>78273.592791878182</v>
      </c>
      <c r="L44" s="63">
        <f t="shared" si="22"/>
        <v>77234.968172588837</v>
      </c>
      <c r="M44" s="64">
        <f>SUM(M35+M43)</f>
        <v>76603.293807106602</v>
      </c>
    </row>
    <row r="45" spans="1:13" s="3" customFormat="1" ht="31.8" thickBot="1" x14ac:dyDescent="0.3">
      <c r="A45" s="6" t="s">
        <v>43</v>
      </c>
      <c r="B45" s="7"/>
      <c r="C45" s="7"/>
      <c r="D45" s="7"/>
      <c r="E45" s="7"/>
      <c r="F45" s="7"/>
      <c r="G45" s="7"/>
    </row>
    <row r="46" spans="1:13" s="3" customFormat="1" ht="31.8" thickBot="1" x14ac:dyDescent="0.3">
      <c r="A46" s="6" t="s">
        <v>44</v>
      </c>
      <c r="B46" s="7"/>
      <c r="C46" s="7"/>
      <c r="D46" s="7"/>
      <c r="E46" s="7"/>
      <c r="F46" s="7"/>
      <c r="G46" s="7"/>
    </row>
    <row r="47" spans="1:13" s="3" customFormat="1" ht="16.2" thickBot="1" x14ac:dyDescent="0.3">
      <c r="A47" s="4" t="s">
        <v>45</v>
      </c>
      <c r="B47" s="10">
        <v>2850</v>
      </c>
      <c r="C47" s="10">
        <v>2836</v>
      </c>
      <c r="D47" s="10">
        <v>3137</v>
      </c>
      <c r="E47" s="10">
        <v>2814</v>
      </c>
      <c r="F47" s="10">
        <v>2692</v>
      </c>
      <c r="G47" s="5"/>
    </row>
    <row r="48" spans="1:13" s="3" customFormat="1" ht="16.2" thickBot="1" x14ac:dyDescent="0.3">
      <c r="A48" s="6" t="s">
        <v>46</v>
      </c>
      <c r="B48" s="7"/>
      <c r="C48" s="7"/>
      <c r="D48" s="7"/>
      <c r="E48" s="7"/>
      <c r="F48" s="7"/>
      <c r="G48" s="7"/>
    </row>
    <row r="49" spans="1:7" s="3" customFormat="1" ht="16.2" thickBot="1" x14ac:dyDescent="0.3">
      <c r="A49" s="4" t="s">
        <v>47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/>
    </row>
    <row r="50" spans="1:7" s="3" customFormat="1" ht="16.2" thickBot="1" x14ac:dyDescent="0.3">
      <c r="A50" s="4" t="s">
        <v>48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/>
    </row>
    <row r="51" spans="1:7" s="3" customFormat="1" ht="16.2" thickBot="1" x14ac:dyDescent="0.3">
      <c r="A51" s="4" t="s">
        <v>49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/>
    </row>
    <row r="52" spans="1:7" s="3" customFormat="1" ht="16.2" thickBot="1" x14ac:dyDescent="0.3">
      <c r="A52" s="4" t="s">
        <v>50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/>
    </row>
    <row r="53" spans="1:7" s="3" customFormat="1" ht="31.8" thickBot="1" x14ac:dyDescent="0.3">
      <c r="A53" s="6" t="s">
        <v>51</v>
      </c>
      <c r="B53" s="7"/>
      <c r="C53" s="7"/>
      <c r="D53" s="7"/>
      <c r="E53" s="7"/>
      <c r="F53" s="7"/>
      <c r="G53" s="7"/>
    </row>
    <row r="54" spans="1:7" s="3" customFormat="1" ht="16.2" thickBot="1" x14ac:dyDescent="0.3">
      <c r="A54" s="4" t="s">
        <v>52</v>
      </c>
      <c r="B54" s="10">
        <v>6281</v>
      </c>
      <c r="C54" s="10">
        <v>4463</v>
      </c>
      <c r="D54" s="10">
        <v>3695</v>
      </c>
      <c r="E54" s="10">
        <v>3131</v>
      </c>
      <c r="F54" s="10">
        <v>2635</v>
      </c>
      <c r="G54" s="5"/>
    </row>
    <row r="55" spans="1:7" s="3" customFormat="1" ht="31.8" thickBot="1" x14ac:dyDescent="0.3">
      <c r="A55" s="6" t="s">
        <v>53</v>
      </c>
      <c r="B55" s="7"/>
      <c r="C55" s="7"/>
      <c r="D55" s="7"/>
      <c r="E55" s="7"/>
      <c r="F55" s="7"/>
      <c r="G55" s="7"/>
    </row>
    <row r="56" spans="1:7" s="3" customFormat="1" ht="16.2" thickBot="1" x14ac:dyDescent="0.3">
      <c r="A56" s="4" t="s">
        <v>54</v>
      </c>
      <c r="B56" s="5" t="s">
        <v>55</v>
      </c>
      <c r="C56" s="5" t="s">
        <v>55</v>
      </c>
      <c r="D56" s="5" t="s">
        <v>55</v>
      </c>
      <c r="E56" s="5" t="s">
        <v>55</v>
      </c>
      <c r="F56" s="5" t="s">
        <v>55</v>
      </c>
      <c r="G56" s="5"/>
    </row>
    <row r="57" spans="1:7" s="3" customFormat="1" ht="16.2" thickBot="1" x14ac:dyDescent="0.3">
      <c r="A57" s="6" t="s">
        <v>56</v>
      </c>
      <c r="B57" s="7"/>
      <c r="C57" s="7"/>
      <c r="D57" s="7"/>
      <c r="E57" s="7"/>
      <c r="F57" s="7"/>
      <c r="G57" s="7"/>
    </row>
    <row r="58" spans="1:7" s="3" customFormat="1" ht="16.2" thickBot="1" x14ac:dyDescent="0.3">
      <c r="A58" s="4" t="s">
        <v>57</v>
      </c>
      <c r="B58" s="5" t="s">
        <v>55</v>
      </c>
      <c r="C58" s="5" t="s">
        <v>55</v>
      </c>
      <c r="D58" s="5" t="s">
        <v>55</v>
      </c>
      <c r="E58" s="5" t="s">
        <v>55</v>
      </c>
      <c r="F58" s="5" t="s">
        <v>55</v>
      </c>
      <c r="G58" s="5"/>
    </row>
    <row r="59" spans="1:7" s="3" customFormat="1" ht="16.2" thickBot="1" x14ac:dyDescent="0.3">
      <c r="A59" s="4" t="s">
        <v>58</v>
      </c>
      <c r="B59" s="10">
        <v>1485</v>
      </c>
      <c r="C59" s="10">
        <v>1497</v>
      </c>
      <c r="D59" s="10">
        <v>1574</v>
      </c>
      <c r="E59" s="10">
        <v>1527</v>
      </c>
      <c r="F59" s="5">
        <v>247</v>
      </c>
      <c r="G59" s="5"/>
    </row>
    <row r="60" spans="1:7" s="3" customFormat="1" ht="16.2" thickBot="1" x14ac:dyDescent="0.3">
      <c r="A60" s="6" t="s">
        <v>59</v>
      </c>
      <c r="B60" s="7"/>
      <c r="C60" s="7"/>
      <c r="D60" s="7"/>
      <c r="E60" s="7"/>
      <c r="F60" s="7"/>
      <c r="G60" s="7"/>
    </row>
    <row r="61" spans="1:7" s="3" customFormat="1" ht="16.2" thickBot="1" x14ac:dyDescent="0.3">
      <c r="A61" s="4" t="s">
        <v>60</v>
      </c>
      <c r="B61" s="5">
        <v>131.69</v>
      </c>
      <c r="C61" s="5">
        <v>131.69</v>
      </c>
      <c r="D61" s="5">
        <v>131.69</v>
      </c>
      <c r="E61" s="5">
        <v>131.69</v>
      </c>
      <c r="F61" s="5">
        <v>131.69</v>
      </c>
      <c r="G61" s="5"/>
    </row>
    <row r="62" spans="1:7" s="3" customFormat="1" ht="16.2" thickBot="1" x14ac:dyDescent="0.3">
      <c r="A62" s="6" t="s">
        <v>61</v>
      </c>
      <c r="B62" s="7"/>
      <c r="C62" s="7"/>
      <c r="D62" s="7"/>
      <c r="E62" s="7"/>
      <c r="F62" s="7"/>
      <c r="G62" s="7"/>
    </row>
    <row r="63" spans="1:7" s="3" customFormat="1" ht="31.8" thickBot="1" x14ac:dyDescent="0.3">
      <c r="A63" s="4" t="s">
        <v>62</v>
      </c>
      <c r="B63" s="5" t="s">
        <v>55</v>
      </c>
      <c r="C63" s="5" t="s">
        <v>55</v>
      </c>
      <c r="D63" s="5" t="s">
        <v>55</v>
      </c>
      <c r="E63" s="5" t="s">
        <v>55</v>
      </c>
      <c r="F63" s="5" t="s">
        <v>55</v>
      </c>
      <c r="G63" s="5"/>
    </row>
    <row r="64" spans="1:7" s="3" customFormat="1" ht="31.8" thickBot="1" x14ac:dyDescent="0.3">
      <c r="A64" s="4" t="s">
        <v>63</v>
      </c>
      <c r="B64" s="5">
        <v>2</v>
      </c>
      <c r="C64" s="5">
        <v>1</v>
      </c>
      <c r="D64" s="5">
        <v>1</v>
      </c>
      <c r="E64" s="5">
        <v>2</v>
      </c>
      <c r="F64" s="5">
        <v>2</v>
      </c>
      <c r="G64" s="5"/>
    </row>
    <row r="65" spans="1:7" s="3" customFormat="1" ht="16.2" thickBot="1" x14ac:dyDescent="0.3">
      <c r="A65" s="6" t="s">
        <v>64</v>
      </c>
      <c r="B65" s="7"/>
      <c r="C65" s="7"/>
      <c r="D65" s="7"/>
      <c r="E65" s="7"/>
      <c r="F65" s="7"/>
      <c r="G65" s="7"/>
    </row>
    <row r="66" spans="1:7" s="3" customFormat="1" ht="16.2" thickBot="1" x14ac:dyDescent="0.3">
      <c r="A66" s="4" t="s">
        <v>65</v>
      </c>
      <c r="B66" s="10">
        <v>3614</v>
      </c>
      <c r="C66" s="10">
        <v>4510</v>
      </c>
      <c r="D66" s="10">
        <v>2811</v>
      </c>
      <c r="E66" s="10">
        <v>3510</v>
      </c>
      <c r="F66" s="10">
        <v>2683</v>
      </c>
      <c r="G66" s="5"/>
    </row>
    <row r="67" spans="1:7" s="3" customFormat="1" ht="16.2" thickBot="1" x14ac:dyDescent="0.3">
      <c r="A67" s="4" t="s">
        <v>66</v>
      </c>
      <c r="B67" s="5" t="s">
        <v>55</v>
      </c>
      <c r="C67" s="5">
        <v>2</v>
      </c>
      <c r="D67" s="5">
        <v>2</v>
      </c>
      <c r="E67" s="5" t="s">
        <v>55</v>
      </c>
      <c r="F67" s="5" t="s">
        <v>55</v>
      </c>
      <c r="G67" s="5"/>
    </row>
    <row r="72" spans="1:7" ht="15" thickBot="1" x14ac:dyDescent="0.35"/>
    <row r="73" spans="1:7" x14ac:dyDescent="0.3">
      <c r="A73" s="88" t="s">
        <v>134</v>
      </c>
      <c r="B73" s="89">
        <v>2030</v>
      </c>
      <c r="C73" s="89">
        <v>2029</v>
      </c>
      <c r="D73" s="89">
        <v>2028</v>
      </c>
      <c r="E73" s="89">
        <v>2027</v>
      </c>
      <c r="F73" s="89">
        <v>2026</v>
      </c>
      <c r="G73" s="90">
        <v>2025</v>
      </c>
    </row>
    <row r="74" spans="1:7" x14ac:dyDescent="0.3">
      <c r="A74" s="91" t="s">
        <v>74</v>
      </c>
      <c r="B74" s="86">
        <f>'P&amp;L'!I9</f>
        <v>65568.42</v>
      </c>
      <c r="C74" s="86">
        <f>'P&amp;L'!J9</f>
        <v>64185.120000000003</v>
      </c>
      <c r="D74" s="86">
        <f>'P&amp;L'!K9</f>
        <v>62321.640000000007</v>
      </c>
      <c r="E74" s="86">
        <f>'P&amp;L'!L9</f>
        <v>53772.740000000005</v>
      </c>
      <c r="F74" s="86">
        <f>'P&amp;L'!M9</f>
        <v>48573.440000000002</v>
      </c>
      <c r="G74" s="92">
        <f>'P&amp;L'!B9</f>
        <v>62646</v>
      </c>
    </row>
    <row r="75" spans="1:7" x14ac:dyDescent="0.3">
      <c r="A75" s="91" t="s">
        <v>139</v>
      </c>
      <c r="B75" s="28">
        <f>SUM('P&amp;L'!I11:I14)</f>
        <v>31583.702741116755</v>
      </c>
      <c r="C75" s="28">
        <f>SUM('P&amp;L'!J11:J14)</f>
        <v>30917.37989847716</v>
      </c>
      <c r="D75" s="28">
        <f>SUM('P&amp;L'!K11:K14)</f>
        <v>30019.758781725894</v>
      </c>
      <c r="E75" s="28">
        <f>SUM('P&amp;L'!L11:L14)</f>
        <v>25901.832554991543</v>
      </c>
      <c r="F75" s="28">
        <f>SUM('P&amp;L'!M11:M14)</f>
        <v>23397.377732656518</v>
      </c>
      <c r="G75" s="92">
        <f>SUM('P&amp;L'!B11:B14)</f>
        <v>30176</v>
      </c>
    </row>
    <row r="76" spans="1:7" x14ac:dyDescent="0.3">
      <c r="A76" s="91" t="s">
        <v>137</v>
      </c>
      <c r="B76" s="87">
        <v>5.507135331864764</v>
      </c>
      <c r="C76" s="87">
        <v>5.507135331864764</v>
      </c>
      <c r="D76" s="87">
        <v>5.507135331864764</v>
      </c>
      <c r="E76" s="87">
        <v>5.507135331864764</v>
      </c>
      <c r="F76" s="87">
        <v>5.507135331864764</v>
      </c>
      <c r="G76" s="93">
        <f>B39/G74*100</f>
        <v>5.507135331864764</v>
      </c>
    </row>
    <row r="77" spans="1:7" x14ac:dyDescent="0.3">
      <c r="A77" s="91" t="s">
        <v>138</v>
      </c>
      <c r="B77" s="42">
        <v>36.446182396606574</v>
      </c>
      <c r="C77" s="42">
        <v>36.446182396606574</v>
      </c>
      <c r="D77" s="42">
        <v>36.446182396606574</v>
      </c>
      <c r="E77" s="42">
        <v>36.446182396606574</v>
      </c>
      <c r="F77" s="42">
        <v>36.446182396606574</v>
      </c>
      <c r="G77" s="93">
        <f>B19/G75*100</f>
        <v>36.446182396606574</v>
      </c>
    </row>
    <row r="78" spans="1:7" x14ac:dyDescent="0.3">
      <c r="A78" s="100" t="s">
        <v>140</v>
      </c>
      <c r="B78" s="95">
        <v>13.789103923647932</v>
      </c>
      <c r="C78" s="95">
        <v>13.789103923647932</v>
      </c>
      <c r="D78" s="95">
        <v>13.789103923647932</v>
      </c>
      <c r="E78" s="95">
        <v>13.789103923647932</v>
      </c>
      <c r="F78" s="95">
        <v>13.789103923647932</v>
      </c>
      <c r="G78" s="96">
        <f>B38/G75*100</f>
        <v>13.789103923647932</v>
      </c>
    </row>
    <row r="79" spans="1:7" ht="15" thickBot="1" x14ac:dyDescent="0.35">
      <c r="A79" s="94" t="s">
        <v>143</v>
      </c>
      <c r="B79" s="99">
        <v>6.4058359671806659</v>
      </c>
      <c r="C79" s="97">
        <v>6.4058359671806659</v>
      </c>
      <c r="D79" s="97">
        <v>6.4058359671806659</v>
      </c>
      <c r="E79" s="97">
        <v>6.4058359671806659</v>
      </c>
      <c r="F79" s="97">
        <v>6.4058359671806659</v>
      </c>
      <c r="G79" s="98">
        <f>B20/G74*100</f>
        <v>6.4058359671806659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B5004-1E25-4C1B-B925-BE7195BF028B}">
  <dimension ref="A1:Q67"/>
  <sheetViews>
    <sheetView zoomScale="86" zoomScaleNormal="95" workbookViewId="0">
      <selection activeCell="K63" sqref="K63"/>
    </sheetView>
  </sheetViews>
  <sheetFormatPr defaultRowHeight="14.4" x14ac:dyDescent="0.3"/>
  <cols>
    <col min="1" max="1" width="42.6640625" bestFit="1" customWidth="1"/>
    <col min="2" max="2" width="19.33203125" bestFit="1" customWidth="1"/>
    <col min="3" max="3" width="25.88671875" bestFit="1" customWidth="1"/>
    <col min="4" max="4" width="14.6640625" bestFit="1" customWidth="1"/>
    <col min="5" max="6" width="10.44140625" bestFit="1" customWidth="1"/>
    <col min="9" max="13" width="13.33203125" bestFit="1" customWidth="1"/>
    <col min="17" max="17" width="14.88671875" customWidth="1"/>
  </cols>
  <sheetData>
    <row r="1" spans="1:14" s="3" customFormat="1" ht="31.8" thickBot="1" x14ac:dyDescent="0.3">
      <c r="A1" s="20" t="s">
        <v>67</v>
      </c>
      <c r="B1" s="21">
        <v>46106</v>
      </c>
      <c r="C1" s="21">
        <v>46105</v>
      </c>
      <c r="D1" s="21">
        <v>46104</v>
      </c>
      <c r="E1" s="21">
        <v>46103</v>
      </c>
      <c r="F1" s="21">
        <v>46102</v>
      </c>
      <c r="G1" s="22"/>
      <c r="I1" s="72" t="s">
        <v>123</v>
      </c>
      <c r="J1" s="73" t="s">
        <v>119</v>
      </c>
      <c r="K1" s="73" t="s">
        <v>120</v>
      </c>
      <c r="L1" s="73" t="s">
        <v>121</v>
      </c>
      <c r="M1" s="74" t="s">
        <v>122</v>
      </c>
    </row>
    <row r="2" spans="1:14" s="3" customFormat="1" ht="16.2" thickBot="1" x14ac:dyDescent="0.3">
      <c r="A2" s="4"/>
      <c r="B2" s="5" t="s">
        <v>1</v>
      </c>
      <c r="C2" s="5" t="s">
        <v>1</v>
      </c>
      <c r="D2" s="5" t="s">
        <v>1</v>
      </c>
      <c r="E2" s="5" t="s">
        <v>1</v>
      </c>
      <c r="F2" s="5" t="s">
        <v>1</v>
      </c>
      <c r="G2" s="5"/>
      <c r="I2" s="65"/>
      <c r="J2" s="66"/>
      <c r="K2" s="66"/>
      <c r="L2" s="66"/>
      <c r="M2" s="67"/>
    </row>
    <row r="3" spans="1:14" s="3" customFormat="1" ht="16.2" thickBot="1" x14ac:dyDescent="0.3">
      <c r="A3" s="6" t="s">
        <v>68</v>
      </c>
      <c r="B3" s="7"/>
      <c r="C3" s="7"/>
      <c r="D3" s="7"/>
      <c r="E3" s="7"/>
      <c r="F3" s="7"/>
      <c r="G3" s="7"/>
      <c r="I3" s="48"/>
      <c r="J3" s="43"/>
      <c r="K3" s="43"/>
      <c r="L3" s="43"/>
      <c r="M3" s="49"/>
    </row>
    <row r="4" spans="1:14" s="3" customFormat="1" ht="16.2" thickBot="1" x14ac:dyDescent="0.3">
      <c r="A4" s="8" t="s">
        <v>69</v>
      </c>
      <c r="B4" s="11">
        <v>60680</v>
      </c>
      <c r="C4" s="11">
        <v>59579</v>
      </c>
      <c r="D4" s="11">
        <v>58154</v>
      </c>
      <c r="E4" s="11">
        <v>50336</v>
      </c>
      <c r="F4" s="11">
        <v>45311</v>
      </c>
      <c r="G4" s="9"/>
      <c r="I4" s="48"/>
      <c r="J4" s="43"/>
      <c r="K4" s="43"/>
      <c r="L4" s="43"/>
      <c r="M4" s="49"/>
    </row>
    <row r="5" spans="1:14" s="3" customFormat="1" ht="16.2" thickBot="1" x14ac:dyDescent="0.3">
      <c r="A5" s="4" t="s">
        <v>70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/>
      <c r="I5" s="48"/>
      <c r="J5" s="43"/>
      <c r="K5" s="43"/>
      <c r="L5" s="43"/>
      <c r="M5" s="49"/>
    </row>
    <row r="6" spans="1:14" s="3" customFormat="1" ht="16.2" thickBot="1" x14ac:dyDescent="0.3">
      <c r="A6" s="8" t="s">
        <v>71</v>
      </c>
      <c r="B6" s="11">
        <v>60680</v>
      </c>
      <c r="C6" s="11">
        <v>59579</v>
      </c>
      <c r="D6" s="11">
        <v>58154</v>
      </c>
      <c r="E6" s="11">
        <v>50336</v>
      </c>
      <c r="F6" s="11">
        <v>45311</v>
      </c>
      <c r="G6" s="9"/>
      <c r="I6" s="50">
        <f>B6*(1+0.06)</f>
        <v>64320.800000000003</v>
      </c>
      <c r="J6" s="44">
        <f t="shared" ref="J6:M6" si="0">C6*(1+0.06)</f>
        <v>63153.740000000005</v>
      </c>
      <c r="K6" s="44">
        <f t="shared" si="0"/>
        <v>61643.240000000005</v>
      </c>
      <c r="L6" s="44">
        <f t="shared" si="0"/>
        <v>53356.160000000003</v>
      </c>
      <c r="M6" s="51">
        <f t="shared" si="0"/>
        <v>48029.66</v>
      </c>
      <c r="N6" s="26"/>
    </row>
    <row r="7" spans="1:14" s="3" customFormat="1" ht="16.2" thickBot="1" x14ac:dyDescent="0.3">
      <c r="A7" s="8" t="s">
        <v>72</v>
      </c>
      <c r="B7" s="11">
        <v>61469</v>
      </c>
      <c r="C7" s="11">
        <v>60469</v>
      </c>
      <c r="D7" s="11">
        <v>59144</v>
      </c>
      <c r="E7" s="11">
        <v>51193</v>
      </c>
      <c r="F7" s="11">
        <v>45996</v>
      </c>
      <c r="G7" s="9"/>
      <c r="I7" s="50">
        <f>I6</f>
        <v>64320.800000000003</v>
      </c>
      <c r="J7" s="44">
        <f t="shared" ref="J7:M7" si="1">J6</f>
        <v>63153.740000000005</v>
      </c>
      <c r="K7" s="44">
        <f t="shared" si="1"/>
        <v>61643.240000000005</v>
      </c>
      <c r="L7" s="44">
        <f t="shared" si="1"/>
        <v>53356.160000000003</v>
      </c>
      <c r="M7" s="51">
        <f t="shared" si="1"/>
        <v>48029.66</v>
      </c>
    </row>
    <row r="8" spans="1:14" s="3" customFormat="1" ht="16.2" thickBot="1" x14ac:dyDescent="0.3">
      <c r="A8" s="4" t="s">
        <v>73</v>
      </c>
      <c r="B8" s="10">
        <v>1177</v>
      </c>
      <c r="C8" s="5">
        <v>973</v>
      </c>
      <c r="D8" s="5">
        <v>640</v>
      </c>
      <c r="E8" s="5">
        <v>393</v>
      </c>
      <c r="F8" s="5">
        <v>513</v>
      </c>
      <c r="G8" s="5"/>
      <c r="I8" s="50">
        <f>B8*106%</f>
        <v>1247.6200000000001</v>
      </c>
      <c r="J8" s="44">
        <f>C8*106%</f>
        <v>1031.3800000000001</v>
      </c>
      <c r="K8" s="44">
        <f t="shared" ref="K8:M8" si="2">D8*106%</f>
        <v>678.40000000000009</v>
      </c>
      <c r="L8" s="44">
        <f t="shared" si="2"/>
        <v>416.58000000000004</v>
      </c>
      <c r="M8" s="51">
        <f t="shared" si="2"/>
        <v>543.78</v>
      </c>
    </row>
    <row r="9" spans="1:14" s="3" customFormat="1" ht="16.2" thickBot="1" x14ac:dyDescent="0.3">
      <c r="A9" s="8" t="s">
        <v>74</v>
      </c>
      <c r="B9" s="11">
        <v>62646</v>
      </c>
      <c r="C9" s="11">
        <v>61442</v>
      </c>
      <c r="D9" s="11">
        <v>59784</v>
      </c>
      <c r="E9" s="11">
        <v>51586</v>
      </c>
      <c r="F9" s="11">
        <v>46509</v>
      </c>
      <c r="G9" s="9"/>
      <c r="I9" s="55">
        <f>I7+I8</f>
        <v>65568.42</v>
      </c>
      <c r="J9" s="45">
        <f t="shared" ref="J9:M9" si="3">J7+J8</f>
        <v>64185.120000000003</v>
      </c>
      <c r="K9" s="45">
        <f t="shared" si="3"/>
        <v>62321.640000000007</v>
      </c>
      <c r="L9" s="45">
        <f t="shared" si="3"/>
        <v>53772.740000000005</v>
      </c>
      <c r="M9" s="56">
        <f t="shared" si="3"/>
        <v>48573.440000000002</v>
      </c>
    </row>
    <row r="10" spans="1:14" s="3" customFormat="1" ht="16.2" thickBot="1" x14ac:dyDescent="0.3">
      <c r="A10" s="6" t="s">
        <v>75</v>
      </c>
      <c r="B10" s="7"/>
      <c r="C10" s="7"/>
      <c r="D10" s="7"/>
      <c r="E10" s="7"/>
      <c r="F10" s="7"/>
      <c r="G10" s="7"/>
      <c r="I10" s="48"/>
      <c r="J10" s="43"/>
      <c r="K10" s="43"/>
      <c r="L10" s="43"/>
      <c r="M10" s="49"/>
    </row>
    <row r="11" spans="1:14" s="3" customFormat="1" ht="16.2" thickBot="1" x14ac:dyDescent="0.3">
      <c r="A11" s="4" t="s">
        <v>76</v>
      </c>
      <c r="B11" s="10">
        <v>17698</v>
      </c>
      <c r="C11" s="10">
        <v>17791</v>
      </c>
      <c r="D11" s="10">
        <v>19229</v>
      </c>
      <c r="E11" s="10">
        <v>15869</v>
      </c>
      <c r="F11" s="10">
        <v>14951</v>
      </c>
      <c r="G11" s="5"/>
      <c r="I11" s="48">
        <f t="shared" ref="I11:L11" si="4">I9*$D$63%</f>
        <v>18523.60720812183</v>
      </c>
      <c r="J11" s="43">
        <f t="shared" si="4"/>
        <v>18132.813807106602</v>
      </c>
      <c r="K11" s="43">
        <f t="shared" si="4"/>
        <v>17606.36568527919</v>
      </c>
      <c r="L11" s="43">
        <f t="shared" si="4"/>
        <v>15191.232521150594</v>
      </c>
      <c r="M11" s="49">
        <f>M9*$D$63%</f>
        <v>13722.388358714046</v>
      </c>
    </row>
    <row r="12" spans="1:14" s="3" customFormat="1" ht="16.2" thickBot="1" x14ac:dyDescent="0.3">
      <c r="A12" s="4" t="s">
        <v>77</v>
      </c>
      <c r="B12" s="10">
        <v>12584</v>
      </c>
      <c r="C12" s="10">
        <v>11544</v>
      </c>
      <c r="D12" s="10">
        <v>11968</v>
      </c>
      <c r="E12" s="10">
        <v>9274</v>
      </c>
      <c r="F12" s="10">
        <v>7117</v>
      </c>
      <c r="G12" s="5"/>
      <c r="I12" s="48">
        <f t="shared" ref="I12:L12" si="5">I9*$D$64%</f>
        <v>13171.04040609137</v>
      </c>
      <c r="J12" s="43">
        <f t="shared" si="5"/>
        <v>12893.170355329949</v>
      </c>
      <c r="K12" s="43">
        <f t="shared" si="5"/>
        <v>12518.844263959392</v>
      </c>
      <c r="L12" s="43">
        <f t="shared" si="5"/>
        <v>10801.586057529612</v>
      </c>
      <c r="M12" s="49">
        <f>M9*$D$64%</f>
        <v>9757.1779357021987</v>
      </c>
    </row>
    <row r="13" spans="1:14" s="3" customFormat="1" ht="16.2" thickBot="1" x14ac:dyDescent="0.3">
      <c r="A13" s="4" t="s">
        <v>78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/>
      <c r="I13" s="48"/>
      <c r="J13" s="43"/>
      <c r="K13" s="43"/>
      <c r="L13" s="43"/>
      <c r="M13" s="49"/>
    </row>
    <row r="14" spans="1:14" s="3" customFormat="1" ht="31.8" thickBot="1" x14ac:dyDescent="0.3">
      <c r="A14" s="4" t="s">
        <v>79</v>
      </c>
      <c r="B14" s="5">
        <v>-106</v>
      </c>
      <c r="C14" s="5">
        <v>-8</v>
      </c>
      <c r="D14" s="5">
        <v>-53</v>
      </c>
      <c r="E14" s="5">
        <v>-19</v>
      </c>
      <c r="F14" s="5">
        <v>-391</v>
      </c>
      <c r="G14" s="5"/>
      <c r="I14" s="48">
        <f>-I9*$D$65%</f>
        <v>-110.9448730964467</v>
      </c>
      <c r="J14" s="43">
        <f t="shared" ref="J14:M14" si="6">-J9*$D$65%</f>
        <v>-108.60426395939086</v>
      </c>
      <c r="K14" s="43">
        <f t="shared" si="6"/>
        <v>-105.45116751269036</v>
      </c>
      <c r="L14" s="43">
        <f t="shared" si="6"/>
        <v>-90.986023688663295</v>
      </c>
      <c r="M14" s="49">
        <f t="shared" si="6"/>
        <v>-82.188561759729268</v>
      </c>
    </row>
    <row r="15" spans="1:14" s="3" customFormat="1" ht="16.2" thickBot="1" x14ac:dyDescent="0.3">
      <c r="A15" s="4" t="s">
        <v>80</v>
      </c>
      <c r="B15" s="10">
        <v>2840</v>
      </c>
      <c r="C15" s="10">
        <v>2782</v>
      </c>
      <c r="D15" s="10">
        <v>2665</v>
      </c>
      <c r="E15" s="10">
        <v>2399</v>
      </c>
      <c r="F15" s="10">
        <v>2229</v>
      </c>
      <c r="G15" s="5"/>
      <c r="I15" s="48"/>
      <c r="J15" s="43"/>
      <c r="K15" s="43"/>
      <c r="L15" s="43"/>
      <c r="M15" s="49"/>
    </row>
    <row r="16" spans="1:14" s="3" customFormat="1" ht="16.2" thickBot="1" x14ac:dyDescent="0.3">
      <c r="A16" s="4" t="s">
        <v>81</v>
      </c>
      <c r="B16" s="5">
        <v>364</v>
      </c>
      <c r="C16" s="5">
        <v>302</v>
      </c>
      <c r="D16" s="5">
        <v>101</v>
      </c>
      <c r="E16" s="5">
        <v>98</v>
      </c>
      <c r="F16" s="5">
        <v>108</v>
      </c>
      <c r="G16" s="5"/>
      <c r="I16" s="48">
        <f>I9*$C$55</f>
        <v>393.41052000000002</v>
      </c>
      <c r="J16" s="43">
        <f>J9*$C$55</f>
        <v>385.11072000000001</v>
      </c>
      <c r="K16" s="43">
        <f>K9*$C$55</f>
        <v>373.92984000000007</v>
      </c>
      <c r="L16" s="43">
        <f>L9*$C$55</f>
        <v>322.63644000000005</v>
      </c>
      <c r="M16" s="49">
        <f>M9*$C$55</f>
        <v>291.44064000000003</v>
      </c>
    </row>
    <row r="17" spans="1:16" s="3" customFormat="1" ht="16.2" thickBot="1" x14ac:dyDescent="0.3">
      <c r="A17" s="4" t="s">
        <v>82</v>
      </c>
      <c r="B17" s="10">
        <v>1224</v>
      </c>
      <c r="C17" s="10">
        <v>1097</v>
      </c>
      <c r="D17" s="10">
        <v>1030</v>
      </c>
      <c r="E17" s="10">
        <v>1025</v>
      </c>
      <c r="F17" s="10">
        <v>1012</v>
      </c>
      <c r="G17" s="5"/>
      <c r="I17" s="48"/>
      <c r="J17" s="43"/>
      <c r="K17" s="43"/>
      <c r="L17" s="43"/>
      <c r="M17" s="49"/>
    </row>
    <row r="18" spans="1:16" s="3" customFormat="1" ht="16.2" thickBot="1" x14ac:dyDescent="0.3">
      <c r="A18" s="4" t="s">
        <v>83</v>
      </c>
      <c r="B18" s="10">
        <v>14164</v>
      </c>
      <c r="C18" s="10">
        <v>14170</v>
      </c>
      <c r="D18" s="10">
        <v>11703</v>
      </c>
      <c r="E18" s="10">
        <v>11167</v>
      </c>
      <c r="F18" s="10">
        <v>10766</v>
      </c>
      <c r="G18" s="5"/>
      <c r="I18" s="48"/>
      <c r="J18" s="43"/>
      <c r="K18" s="43"/>
      <c r="L18" s="43"/>
      <c r="M18" s="49"/>
    </row>
    <row r="19" spans="1:16" s="3" customFormat="1" ht="16.2" thickBot="1" x14ac:dyDescent="0.3">
      <c r="A19" s="8" t="s">
        <v>84</v>
      </c>
      <c r="B19" s="11">
        <v>48768</v>
      </c>
      <c r="C19" s="11">
        <v>47678</v>
      </c>
      <c r="D19" s="11">
        <v>46643</v>
      </c>
      <c r="E19" s="11">
        <v>39813</v>
      </c>
      <c r="F19" s="11">
        <v>35792</v>
      </c>
      <c r="G19" s="9"/>
      <c r="I19" s="48">
        <f xml:space="preserve"> I9-I9*$C$54</f>
        <v>50159.8413</v>
      </c>
      <c r="J19" s="43">
        <f xml:space="preserve"> J9-J9*$C$54</f>
        <v>49101.616800000003</v>
      </c>
      <c r="K19" s="43">
        <f xml:space="preserve"> K9-K9*$C$54</f>
        <v>47676.054600000003</v>
      </c>
      <c r="L19" s="43">
        <f xml:space="preserve"> L9-L9*$C$54</f>
        <v>41136.146100000005</v>
      </c>
      <c r="M19" s="49">
        <f xml:space="preserve"> M9-M9*$C$54</f>
        <v>37158.681600000004</v>
      </c>
    </row>
    <row r="20" spans="1:16" s="3" customFormat="1" ht="31.8" thickBot="1" x14ac:dyDescent="0.3">
      <c r="A20" s="8" t="s">
        <v>85</v>
      </c>
      <c r="B20" s="11">
        <v>13878</v>
      </c>
      <c r="C20" s="11">
        <v>13764</v>
      </c>
      <c r="D20" s="11">
        <v>13141</v>
      </c>
      <c r="E20" s="11">
        <v>11773</v>
      </c>
      <c r="F20" s="11">
        <v>10717</v>
      </c>
      <c r="G20" s="9"/>
      <c r="I20" s="48"/>
      <c r="J20" s="43"/>
      <c r="K20" s="43"/>
      <c r="L20" s="43"/>
      <c r="M20" s="49"/>
    </row>
    <row r="21" spans="1:16" s="3" customFormat="1" ht="16.2" thickBot="1" x14ac:dyDescent="0.3">
      <c r="A21" s="4" t="s">
        <v>86</v>
      </c>
      <c r="B21" s="5">
        <v>422</v>
      </c>
      <c r="C21" s="5">
        <v>-89</v>
      </c>
      <c r="D21" s="5">
        <v>-62</v>
      </c>
      <c r="E21" s="5">
        <v>-34</v>
      </c>
      <c r="F21" s="5">
        <v>-227</v>
      </c>
      <c r="G21" s="5"/>
      <c r="I21" s="48"/>
      <c r="J21" s="43"/>
      <c r="K21" s="43"/>
      <c r="L21" s="43"/>
      <c r="M21" s="49"/>
    </row>
    <row r="22" spans="1:16" s="3" customFormat="1" ht="16.2" thickBot="1" x14ac:dyDescent="0.3">
      <c r="A22" s="8" t="s">
        <v>87</v>
      </c>
      <c r="B22" s="11">
        <v>14300</v>
      </c>
      <c r="C22" s="11">
        <v>13675</v>
      </c>
      <c r="D22" s="11">
        <v>13079</v>
      </c>
      <c r="E22" s="11">
        <v>11739</v>
      </c>
      <c r="F22" s="11">
        <v>10490</v>
      </c>
      <c r="G22" s="9"/>
      <c r="I22" s="75">
        <f>D62-I16</f>
        <v>15015.168179999999</v>
      </c>
      <c r="J22" s="71">
        <f>E62-J16</f>
        <v>14698.392479999999</v>
      </c>
      <c r="K22" s="71">
        <f>F62-K16</f>
        <v>14271.655559999999</v>
      </c>
      <c r="L22" s="71">
        <f>G62-L16</f>
        <v>12313.95746</v>
      </c>
      <c r="M22" s="76">
        <f>H62-M16</f>
        <v>11123.31776</v>
      </c>
    </row>
    <row r="23" spans="1:16" s="3" customFormat="1" ht="16.2" thickBot="1" x14ac:dyDescent="0.3">
      <c r="A23" s="6" t="s">
        <v>88</v>
      </c>
      <c r="B23" s="7"/>
      <c r="C23" s="7"/>
      <c r="D23" s="7"/>
      <c r="E23" s="7"/>
      <c r="F23" s="7"/>
      <c r="G23" s="7"/>
      <c r="I23" s="48"/>
      <c r="J23" s="43"/>
      <c r="K23" s="43"/>
      <c r="L23" s="43"/>
      <c r="M23" s="49"/>
    </row>
    <row r="24" spans="1:16" s="3" customFormat="1" ht="16.2" thickBot="1" x14ac:dyDescent="0.3">
      <c r="A24" s="27" t="s">
        <v>88</v>
      </c>
      <c r="B24" s="10">
        <v>3525</v>
      </c>
      <c r="C24" s="10">
        <v>3446</v>
      </c>
      <c r="D24" s="10">
        <v>2922</v>
      </c>
      <c r="E24" s="10">
        <v>2778</v>
      </c>
      <c r="F24" s="10">
        <v>2458</v>
      </c>
      <c r="G24" s="5"/>
      <c r="I24" s="48">
        <f>I22*$C$56</f>
        <v>3753.7920449999997</v>
      </c>
      <c r="J24" s="43">
        <f>J22*$C$56</f>
        <v>3674.5981199999997</v>
      </c>
      <c r="K24" s="43">
        <f>K22*$C$56</f>
        <v>3567.9138899999998</v>
      </c>
      <c r="L24" s="43">
        <f>L22*$C$56</f>
        <v>3078.4893649999999</v>
      </c>
      <c r="M24" s="49">
        <f>M22*$C$56</f>
        <v>2780.82944</v>
      </c>
      <c r="P24" s="3">
        <f>P22*F56</f>
        <v>0</v>
      </c>
    </row>
    <row r="25" spans="1:16" s="3" customFormat="1" ht="16.2" thickBot="1" x14ac:dyDescent="0.3">
      <c r="A25" s="4" t="s">
        <v>89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/>
      <c r="I25" s="48"/>
      <c r="J25" s="43"/>
      <c r="K25" s="43"/>
      <c r="L25" s="43"/>
      <c r="M25" s="49"/>
    </row>
    <row r="26" spans="1:16" s="3" customFormat="1" ht="16.2" thickBot="1" x14ac:dyDescent="0.3">
      <c r="A26" s="4" t="s">
        <v>90</v>
      </c>
      <c r="B26" s="5">
        <v>131</v>
      </c>
      <c r="C26" s="5">
        <v>115</v>
      </c>
      <c r="D26" s="5">
        <v>195</v>
      </c>
      <c r="E26" s="5">
        <v>143</v>
      </c>
      <c r="F26" s="5">
        <v>78</v>
      </c>
      <c r="G26" s="5"/>
      <c r="I26" s="48"/>
      <c r="J26" s="43"/>
      <c r="K26" s="43"/>
      <c r="L26" s="43"/>
      <c r="M26" s="49"/>
    </row>
    <row r="27" spans="1:16" s="3" customFormat="1" ht="16.2" thickBot="1" x14ac:dyDescent="0.3">
      <c r="A27" s="4" t="s">
        <v>91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/>
      <c r="I27" s="48"/>
      <c r="J27" s="43"/>
      <c r="K27" s="43"/>
      <c r="L27" s="43"/>
      <c r="M27" s="49"/>
    </row>
    <row r="28" spans="1:16" s="3" customFormat="1" ht="16.2" thickBot="1" x14ac:dyDescent="0.3">
      <c r="A28" s="8" t="s">
        <v>92</v>
      </c>
      <c r="B28" s="11">
        <v>3656</v>
      </c>
      <c r="C28" s="11">
        <v>3561</v>
      </c>
      <c r="D28" s="11">
        <v>3117</v>
      </c>
      <c r="E28" s="11">
        <v>2921</v>
      </c>
      <c r="F28" s="11">
        <v>2536</v>
      </c>
      <c r="G28" s="9"/>
      <c r="I28" s="48"/>
      <c r="J28" s="43"/>
      <c r="K28" s="43"/>
      <c r="L28" s="43"/>
      <c r="M28" s="49"/>
    </row>
    <row r="29" spans="1:16" s="3" customFormat="1" ht="31.8" thickBot="1" x14ac:dyDescent="0.3">
      <c r="A29" s="8" t="s">
        <v>93</v>
      </c>
      <c r="B29" s="11">
        <v>10644</v>
      </c>
      <c r="C29" s="11">
        <v>10114</v>
      </c>
      <c r="D29" s="11">
        <v>9962</v>
      </c>
      <c r="E29" s="11">
        <v>8818</v>
      </c>
      <c r="F29" s="11">
        <v>7954</v>
      </c>
      <c r="G29" s="9"/>
      <c r="I29" s="77">
        <f t="shared" ref="I29:K29" si="7">I22-I24</f>
        <v>11261.376134999999</v>
      </c>
      <c r="J29" s="78">
        <f t="shared" si="7"/>
        <v>11023.79436</v>
      </c>
      <c r="K29" s="78">
        <f t="shared" si="7"/>
        <v>10703.741669999999</v>
      </c>
      <c r="L29" s="78">
        <f>L22-L24</f>
        <v>9235.4680950000002</v>
      </c>
      <c r="M29" s="79">
        <f>M22-M24</f>
        <v>8342.4883200000004</v>
      </c>
    </row>
    <row r="30" spans="1:16" s="3" customFormat="1" ht="16.2" thickBot="1" x14ac:dyDescent="0.3">
      <c r="A30" s="8" t="s">
        <v>94</v>
      </c>
      <c r="B30" s="11">
        <v>10644</v>
      </c>
      <c r="C30" s="11">
        <v>10114</v>
      </c>
      <c r="D30" s="11">
        <v>9962</v>
      </c>
      <c r="E30" s="11">
        <v>8818</v>
      </c>
      <c r="F30" s="11">
        <v>7954</v>
      </c>
      <c r="G30" s="9"/>
    </row>
    <row r="31" spans="1:16" s="3" customFormat="1" ht="16.2" thickBot="1" x14ac:dyDescent="0.3">
      <c r="A31" s="8" t="s">
        <v>95</v>
      </c>
      <c r="B31" s="11">
        <v>10644</v>
      </c>
      <c r="C31" s="11">
        <v>10114</v>
      </c>
      <c r="D31" s="11">
        <v>9962</v>
      </c>
      <c r="E31" s="11">
        <v>8818</v>
      </c>
      <c r="F31" s="11">
        <v>7954</v>
      </c>
      <c r="G31" s="9"/>
    </row>
    <row r="32" spans="1:16" s="3" customFormat="1" ht="16.2" thickBot="1" x14ac:dyDescent="0.3">
      <c r="A32" s="6" t="s">
        <v>43</v>
      </c>
      <c r="B32" s="7"/>
      <c r="C32" s="7"/>
      <c r="D32" s="7"/>
      <c r="E32" s="7"/>
      <c r="F32" s="7"/>
      <c r="G32" s="7"/>
    </row>
    <row r="33" spans="1:7" s="3" customFormat="1" ht="16.2" thickBot="1" x14ac:dyDescent="0.3">
      <c r="A33" s="6" t="s">
        <v>96</v>
      </c>
      <c r="B33" s="7"/>
      <c r="C33" s="7"/>
      <c r="D33" s="7"/>
      <c r="E33" s="7"/>
      <c r="F33" s="7"/>
      <c r="G33" s="7"/>
    </row>
    <row r="34" spans="1:7" s="3" customFormat="1" ht="16.2" thickBot="1" x14ac:dyDescent="0.3">
      <c r="A34" s="4" t="s">
        <v>97</v>
      </c>
      <c r="B34" s="5">
        <v>45.3</v>
      </c>
      <c r="C34" s="5">
        <v>43.05</v>
      </c>
      <c r="D34" s="5">
        <v>42.4</v>
      </c>
      <c r="E34" s="5">
        <v>37.53</v>
      </c>
      <c r="F34" s="5">
        <v>33.85</v>
      </c>
      <c r="G34" s="5"/>
    </row>
    <row r="35" spans="1:7" s="3" customFormat="1" ht="16.2" thickBot="1" x14ac:dyDescent="0.3">
      <c r="A35" s="4" t="s">
        <v>98</v>
      </c>
      <c r="B35" s="5">
        <v>45.3</v>
      </c>
      <c r="C35" s="5">
        <v>43.05</v>
      </c>
      <c r="D35" s="5">
        <v>42.4</v>
      </c>
      <c r="E35" s="5">
        <v>37.53</v>
      </c>
      <c r="F35" s="5">
        <v>33.85</v>
      </c>
      <c r="G35" s="5"/>
    </row>
    <row r="36" spans="1:7" s="3" customFormat="1" ht="47.4" thickBot="1" x14ac:dyDescent="0.3">
      <c r="A36" s="6" t="s">
        <v>99</v>
      </c>
      <c r="B36" s="7"/>
      <c r="C36" s="7"/>
      <c r="D36" s="7"/>
      <c r="E36" s="7"/>
      <c r="F36" s="7"/>
      <c r="G36" s="7"/>
    </row>
    <row r="37" spans="1:7" s="3" customFormat="1" ht="16.2" thickBot="1" x14ac:dyDescent="0.3">
      <c r="A37" s="4" t="s">
        <v>100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/>
    </row>
    <row r="38" spans="1:7" s="3" customFormat="1" ht="16.2" thickBot="1" x14ac:dyDescent="0.3">
      <c r="A38" s="4" t="s">
        <v>101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/>
    </row>
    <row r="39" spans="1:7" s="3" customFormat="1" ht="16.2" thickBot="1" x14ac:dyDescent="0.3">
      <c r="A39" s="6" t="s">
        <v>102</v>
      </c>
      <c r="B39" s="7"/>
      <c r="C39" s="7"/>
      <c r="D39" s="7"/>
      <c r="E39" s="7"/>
      <c r="F39" s="7"/>
      <c r="G39" s="7"/>
    </row>
    <row r="40" spans="1:7" s="3" customFormat="1" ht="16.2" thickBot="1" x14ac:dyDescent="0.3">
      <c r="A40" s="4" t="s">
        <v>103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/>
    </row>
    <row r="41" spans="1:7" s="3" customFormat="1" ht="16.2" thickBot="1" x14ac:dyDescent="0.3">
      <c r="A41" s="4" t="s">
        <v>104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/>
    </row>
    <row r="42" spans="1:7" s="3" customFormat="1" ht="31.8" thickBot="1" x14ac:dyDescent="0.3">
      <c r="A42" s="6" t="s">
        <v>105</v>
      </c>
      <c r="B42" s="7"/>
      <c r="C42" s="7"/>
      <c r="D42" s="7"/>
      <c r="E42" s="7"/>
      <c r="F42" s="7"/>
      <c r="G42" s="7"/>
    </row>
    <row r="43" spans="1:7" s="3" customFormat="1" ht="16.2" thickBot="1" x14ac:dyDescent="0.3">
      <c r="A43" s="4" t="s">
        <v>106</v>
      </c>
      <c r="B43" s="10">
        <v>12453</v>
      </c>
      <c r="C43" s="10">
        <v>9398</v>
      </c>
      <c r="D43" s="10">
        <v>8459</v>
      </c>
      <c r="E43" s="10">
        <v>7519</v>
      </c>
      <c r="F43" s="10">
        <v>8811</v>
      </c>
      <c r="G43" s="5"/>
    </row>
    <row r="44" spans="1:7" s="3" customFormat="1" ht="16.2" thickBot="1" x14ac:dyDescent="0.3">
      <c r="A44" s="4" t="s">
        <v>107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/>
    </row>
    <row r="45" spans="1:7" s="3" customFormat="1" ht="16.2" thickBot="1" x14ac:dyDescent="0.3">
      <c r="A45" s="4" t="s">
        <v>108</v>
      </c>
      <c r="B45" s="10">
        <v>5300</v>
      </c>
      <c r="C45" s="10">
        <v>4200</v>
      </c>
      <c r="D45" s="10">
        <v>3900</v>
      </c>
      <c r="E45" s="10">
        <v>3400</v>
      </c>
      <c r="F45" s="10">
        <v>3100</v>
      </c>
      <c r="G45" s="5"/>
    </row>
    <row r="49" spans="2:17" ht="18.600000000000001" thickBot="1" x14ac:dyDescent="0.4">
      <c r="B49" s="32"/>
    </row>
    <row r="50" spans="2:17" ht="18.600000000000001" thickBot="1" x14ac:dyDescent="0.4">
      <c r="B50" s="35" t="s">
        <v>133</v>
      </c>
      <c r="C50" s="36"/>
      <c r="D50" s="36"/>
      <c r="E50" s="36"/>
      <c r="F50" s="36"/>
      <c r="G50" s="36"/>
      <c r="H50" s="36"/>
      <c r="I50" s="37"/>
    </row>
    <row r="51" spans="2:17" x14ac:dyDescent="0.3">
      <c r="B51" s="33" t="s">
        <v>124</v>
      </c>
      <c r="C51" s="34">
        <v>0.06</v>
      </c>
      <c r="D51" s="33"/>
      <c r="E51" s="33"/>
      <c r="F51" s="33"/>
      <c r="G51" s="33"/>
      <c r="H51" s="33"/>
      <c r="I51" s="33"/>
    </row>
    <row r="52" spans="2:17" x14ac:dyDescent="0.3">
      <c r="B52" s="28" t="s">
        <v>125</v>
      </c>
      <c r="C52" s="29">
        <v>7.0000000000000007E-2</v>
      </c>
      <c r="D52" s="28"/>
      <c r="E52" s="28"/>
      <c r="F52" s="28"/>
      <c r="G52" s="28"/>
      <c r="H52" s="28"/>
      <c r="I52" s="28"/>
    </row>
    <row r="53" spans="2:17" x14ac:dyDescent="0.3">
      <c r="B53" s="28" t="s">
        <v>126</v>
      </c>
      <c r="C53" s="29">
        <v>7.0000000000000007E-2</v>
      </c>
      <c r="D53" s="28"/>
      <c r="E53" s="28"/>
      <c r="F53" s="28"/>
      <c r="G53" s="28"/>
      <c r="H53" s="28"/>
      <c r="I53" s="28"/>
    </row>
    <row r="54" spans="2:17" x14ac:dyDescent="0.3">
      <c r="B54" s="28" t="s">
        <v>127</v>
      </c>
      <c r="C54" s="30">
        <v>0.23499999999999999</v>
      </c>
      <c r="D54" s="28"/>
      <c r="E54" s="28"/>
      <c r="F54" s="28"/>
      <c r="G54" s="28"/>
      <c r="H54" s="28"/>
      <c r="I54" s="28"/>
    </row>
    <row r="55" spans="2:17" x14ac:dyDescent="0.3">
      <c r="B55" s="28" t="s">
        <v>128</v>
      </c>
      <c r="C55" s="30">
        <v>6.0000000000000001E-3</v>
      </c>
      <c r="D55" s="28"/>
      <c r="E55" s="28"/>
      <c r="F55" s="28"/>
      <c r="G55" s="28"/>
      <c r="H55" s="28"/>
      <c r="I55" s="28"/>
    </row>
    <row r="56" spans="2:17" x14ac:dyDescent="0.3">
      <c r="B56" s="28" t="s">
        <v>129</v>
      </c>
      <c r="C56" s="29">
        <v>0.25</v>
      </c>
      <c r="D56" s="28"/>
      <c r="E56" s="28"/>
      <c r="F56" s="28"/>
      <c r="G56" s="28"/>
      <c r="H56" s="28"/>
      <c r="I56" s="28"/>
    </row>
    <row r="57" spans="2:17" x14ac:dyDescent="0.3">
      <c r="B57" s="28" t="s">
        <v>130</v>
      </c>
      <c r="C57" s="29">
        <v>0.02</v>
      </c>
      <c r="D57" s="28"/>
      <c r="E57" s="28"/>
      <c r="F57" s="28"/>
      <c r="G57" s="28"/>
      <c r="H57" s="28"/>
      <c r="I57" s="28"/>
    </row>
    <row r="58" spans="2:17" x14ac:dyDescent="0.3">
      <c r="B58" s="28" t="s">
        <v>131</v>
      </c>
      <c r="C58" s="30">
        <v>5.0000000000000001E-3</v>
      </c>
      <c r="D58" s="28"/>
      <c r="E58" s="28"/>
      <c r="F58" s="28"/>
      <c r="G58" s="28"/>
      <c r="H58" s="28"/>
      <c r="I58" s="28"/>
    </row>
    <row r="59" spans="2:17" x14ac:dyDescent="0.3">
      <c r="B59" s="28"/>
      <c r="C59" s="28" t="s">
        <v>127</v>
      </c>
      <c r="D59" s="28">
        <v>2021</v>
      </c>
      <c r="E59" s="28">
        <v>2022</v>
      </c>
      <c r="F59" s="28">
        <v>2023</v>
      </c>
      <c r="G59" s="28">
        <v>2024</v>
      </c>
      <c r="H59" s="28">
        <v>2025</v>
      </c>
      <c r="I59" s="28"/>
    </row>
    <row r="60" spans="2:17" x14ac:dyDescent="0.3">
      <c r="B60" s="28"/>
      <c r="C60" s="28"/>
      <c r="D60" s="28">
        <f>F9*C54</f>
        <v>10929.615</v>
      </c>
      <c r="E60" s="28">
        <f>E9*C54</f>
        <v>12122.71</v>
      </c>
      <c r="F60" s="28">
        <f>D9*C54</f>
        <v>14049.24</v>
      </c>
      <c r="G60" s="28">
        <f>C9*C54</f>
        <v>14438.869999999999</v>
      </c>
      <c r="H60" s="28">
        <f>B9*C54</f>
        <v>14721.81</v>
      </c>
      <c r="I60" s="28"/>
    </row>
    <row r="61" spans="2:17" x14ac:dyDescent="0.3">
      <c r="B61" s="28"/>
      <c r="C61" s="28"/>
      <c r="D61" s="31">
        <v>2030</v>
      </c>
      <c r="E61" s="31">
        <v>2029</v>
      </c>
      <c r="F61" s="31">
        <v>2028</v>
      </c>
      <c r="G61" s="31">
        <v>2027</v>
      </c>
      <c r="H61" s="31">
        <v>2026</v>
      </c>
      <c r="I61" s="28"/>
    </row>
    <row r="62" spans="2:17" x14ac:dyDescent="0.3">
      <c r="B62" s="28"/>
      <c r="C62" s="28"/>
      <c r="D62" s="31">
        <f>I9*$C$54</f>
        <v>15408.578699999998</v>
      </c>
      <c r="E62" s="31">
        <f>J9*$C$54</f>
        <v>15083.503199999999</v>
      </c>
      <c r="F62" s="31">
        <f>K9*$C$54</f>
        <v>14645.5854</v>
      </c>
      <c r="G62" s="31">
        <f>L9*$C$54</f>
        <v>12636.5939</v>
      </c>
      <c r="H62" s="31">
        <f>M9*$C$54</f>
        <v>11414.758400000001</v>
      </c>
      <c r="I62" s="28"/>
    </row>
    <row r="63" spans="2:17" ht="46.8" x14ac:dyDescent="0.3">
      <c r="B63" s="28"/>
      <c r="C63" s="40" t="s">
        <v>135</v>
      </c>
      <c r="D63" s="41">
        <f>B11/B9*100</f>
        <v>28.250806116910898</v>
      </c>
      <c r="E63" s="41"/>
      <c r="F63" s="41"/>
      <c r="G63" s="28"/>
      <c r="H63" s="28"/>
      <c r="I63" s="28"/>
      <c r="L63" s="38"/>
      <c r="M63" s="38"/>
      <c r="N63" s="38"/>
      <c r="O63" s="38"/>
      <c r="P63" s="38"/>
      <c r="Q63" s="38"/>
    </row>
    <row r="64" spans="2:17" ht="31.2" x14ac:dyDescent="0.3">
      <c r="B64" s="28"/>
      <c r="C64" s="40" t="s">
        <v>136</v>
      </c>
      <c r="D64" s="41">
        <f>B12/B9*100</f>
        <v>20.087475656865561</v>
      </c>
      <c r="E64" s="28"/>
      <c r="F64" s="28"/>
      <c r="G64" s="28"/>
      <c r="H64" s="28"/>
      <c r="I64" s="28"/>
    </row>
    <row r="65" spans="2:9" ht="46.8" x14ac:dyDescent="0.3">
      <c r="B65" s="28"/>
      <c r="C65" s="40" t="s">
        <v>79</v>
      </c>
      <c r="D65" s="42">
        <f>-B14/B9*100</f>
        <v>0.16920473773265651</v>
      </c>
      <c r="E65" s="28"/>
      <c r="F65" s="28"/>
      <c r="G65" s="28"/>
      <c r="H65" s="28"/>
      <c r="I65" s="28"/>
    </row>
    <row r="66" spans="2:9" ht="15.6" x14ac:dyDescent="0.3">
      <c r="B66" s="40" t="s">
        <v>141</v>
      </c>
      <c r="C66" s="28">
        <f t="shared" ref="C66:F66" si="8">I9*2%</f>
        <v>1311.3684000000001</v>
      </c>
      <c r="D66" s="28">
        <f t="shared" si="8"/>
        <v>1283.7024000000001</v>
      </c>
      <c r="E66" s="28">
        <f t="shared" si="8"/>
        <v>1246.4328000000003</v>
      </c>
      <c r="F66" s="28">
        <f t="shared" si="8"/>
        <v>1075.4548000000002</v>
      </c>
      <c r="G66" s="28">
        <f>M9*2%</f>
        <v>971.4688000000001</v>
      </c>
      <c r="H66" s="28"/>
      <c r="I66" s="28"/>
    </row>
    <row r="67" spans="2:9" ht="15.6" x14ac:dyDescent="0.3">
      <c r="B67" s="40" t="s">
        <v>142</v>
      </c>
      <c r="C67" s="42"/>
      <c r="D67" s="42"/>
      <c r="E67" s="42"/>
      <c r="F67" s="42"/>
      <c r="G67" s="42">
        <f>$B$17/'Balance Sheet '!B26*100</f>
        <v>15.875486381322956</v>
      </c>
      <c r="H67" s="28"/>
      <c r="I67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2456F-879A-4100-A8E8-1766E364BDAC}">
  <dimension ref="A1:M11"/>
  <sheetViews>
    <sheetView tabSelected="1" zoomScale="75" workbookViewId="0">
      <selection activeCell="O9" sqref="O9"/>
    </sheetView>
  </sheetViews>
  <sheetFormatPr defaultRowHeight="14.4" x14ac:dyDescent="0.3"/>
  <cols>
    <col min="1" max="1" width="38.21875" bestFit="1" customWidth="1"/>
    <col min="2" max="2" width="11.6640625" bestFit="1" customWidth="1"/>
    <col min="3" max="4" width="10.88671875" bestFit="1" customWidth="1"/>
    <col min="5" max="5" width="12.33203125" customWidth="1"/>
    <col min="6" max="6" width="14.33203125" customWidth="1"/>
    <col min="9" max="12" width="9.44140625" bestFit="1" customWidth="1"/>
    <col min="13" max="13" width="8.44140625" bestFit="1" customWidth="1"/>
  </cols>
  <sheetData>
    <row r="1" spans="1:13" s="3" customFormat="1" ht="31.8" thickBot="1" x14ac:dyDescent="0.3">
      <c r="A1" s="23" t="s">
        <v>109</v>
      </c>
      <c r="B1" s="24">
        <v>46106</v>
      </c>
      <c r="C1" s="24">
        <v>46105</v>
      </c>
      <c r="D1" s="24">
        <v>46104</v>
      </c>
      <c r="E1" s="24">
        <v>46103</v>
      </c>
      <c r="F1" s="24">
        <v>46102</v>
      </c>
      <c r="G1" s="25"/>
      <c r="I1" s="68" t="s">
        <v>132</v>
      </c>
      <c r="J1" s="69" t="s">
        <v>119</v>
      </c>
      <c r="K1" s="69" t="s">
        <v>120</v>
      </c>
      <c r="L1" s="69" t="s">
        <v>121</v>
      </c>
      <c r="M1" s="70" t="s">
        <v>122</v>
      </c>
    </row>
    <row r="2" spans="1:13" s="3" customFormat="1" ht="15.6" x14ac:dyDescent="0.25">
      <c r="A2" s="14"/>
      <c r="B2" s="15" t="s">
        <v>1</v>
      </c>
      <c r="C2" s="15" t="s">
        <v>1</v>
      </c>
      <c r="D2" s="15" t="s">
        <v>1</v>
      </c>
      <c r="E2" s="15" t="s">
        <v>1</v>
      </c>
      <c r="F2" s="15" t="s">
        <v>1</v>
      </c>
      <c r="G2" s="16"/>
      <c r="I2" s="65"/>
      <c r="J2" s="66"/>
      <c r="K2" s="66"/>
      <c r="L2" s="66"/>
      <c r="M2" s="67"/>
    </row>
    <row r="3" spans="1:13" s="3" customFormat="1" ht="31.2" x14ac:dyDescent="0.25">
      <c r="A3" s="12" t="s">
        <v>110</v>
      </c>
      <c r="B3" s="17">
        <v>14300</v>
      </c>
      <c r="C3" s="17">
        <v>13675</v>
      </c>
      <c r="D3" s="17">
        <v>13079</v>
      </c>
      <c r="E3" s="17">
        <v>11739</v>
      </c>
      <c r="F3" s="17">
        <v>10490</v>
      </c>
      <c r="G3" s="13"/>
      <c r="I3" s="81">
        <f>'P&amp;L'!I22</f>
        <v>15015.168179999999</v>
      </c>
      <c r="J3" s="80">
        <f>'P&amp;L'!J22</f>
        <v>14698.392479999999</v>
      </c>
      <c r="K3" s="80">
        <f>'P&amp;L'!K22</f>
        <v>14271.655559999999</v>
      </c>
      <c r="L3" s="80">
        <f>'P&amp;L'!L22</f>
        <v>12313.95746</v>
      </c>
      <c r="M3" s="82">
        <f>'P&amp;L'!M22</f>
        <v>11123.31776</v>
      </c>
    </row>
    <row r="4" spans="1:13" s="3" customFormat="1" ht="15.6" x14ac:dyDescent="0.25">
      <c r="A4" s="14" t="s">
        <v>111</v>
      </c>
      <c r="B4" s="18">
        <v>11606</v>
      </c>
      <c r="C4" s="18">
        <v>14884</v>
      </c>
      <c r="D4" s="18">
        <v>9626</v>
      </c>
      <c r="E4" s="18">
        <v>8964</v>
      </c>
      <c r="F4" s="18">
        <v>8957</v>
      </c>
      <c r="G4" s="16"/>
      <c r="I4" s="50">
        <f>'P&amp;L'!I29+'P&amp;L'!$B$17</f>
        <v>12485.376134999999</v>
      </c>
      <c r="J4" s="44">
        <f>'P&amp;L'!J29+'P&amp;L'!$B$17</f>
        <v>12247.79436</v>
      </c>
      <c r="K4" s="44">
        <f>'P&amp;L'!K29+'P&amp;L'!$B$17</f>
        <v>11927.741669999999</v>
      </c>
      <c r="L4" s="44">
        <f>'P&amp;L'!L29+'P&amp;L'!$B$17</f>
        <v>10459.468095</v>
      </c>
      <c r="M4" s="51">
        <f>'P&amp;L'!M29+'P&amp;L'!$B$17</f>
        <v>9566.4883200000004</v>
      </c>
    </row>
    <row r="5" spans="1:13" s="3" customFormat="1" ht="15.6" x14ac:dyDescent="0.25">
      <c r="A5" s="14" t="s">
        <v>112</v>
      </c>
      <c r="B5" s="18">
        <v>6763</v>
      </c>
      <c r="C5" s="18">
        <v>-4971</v>
      </c>
      <c r="D5" s="18">
        <v>-1062</v>
      </c>
      <c r="E5" s="18">
        <v>-1732</v>
      </c>
      <c r="F5" s="18">
        <v>-1367</v>
      </c>
      <c r="G5" s="16"/>
      <c r="I5" s="48">
        <f>-'P&amp;L'!C66</f>
        <v>-1311.3684000000001</v>
      </c>
      <c r="J5" s="43">
        <f>-'P&amp;L'!D66</f>
        <v>-1283.7024000000001</v>
      </c>
      <c r="K5" s="43">
        <f>-'P&amp;L'!E66</f>
        <v>-1246.4328000000003</v>
      </c>
      <c r="L5" s="43">
        <f>-'P&amp;L'!F66</f>
        <v>-1075.4548000000002</v>
      </c>
      <c r="M5" s="49">
        <f>-'P&amp;L'!G66</f>
        <v>-971.4688000000001</v>
      </c>
    </row>
    <row r="6" spans="1:13" s="3" customFormat="1" ht="31.2" x14ac:dyDescent="0.25">
      <c r="A6" s="14" t="s">
        <v>113</v>
      </c>
      <c r="B6" s="18">
        <v>-13031</v>
      </c>
      <c r="C6" s="18">
        <v>-9890</v>
      </c>
      <c r="D6" s="18">
        <v>-8966</v>
      </c>
      <c r="E6" s="18">
        <v>-7984</v>
      </c>
      <c r="F6" s="18">
        <v>-9280</v>
      </c>
      <c r="G6" s="16"/>
      <c r="I6" s="48">
        <f>0</f>
        <v>0</v>
      </c>
      <c r="J6" s="43">
        <f>0</f>
        <v>0</v>
      </c>
      <c r="K6" s="43">
        <f>0</f>
        <v>0</v>
      </c>
      <c r="L6" s="43">
        <f>0</f>
        <v>0</v>
      </c>
      <c r="M6" s="49">
        <f>0</f>
        <v>0</v>
      </c>
    </row>
    <row r="7" spans="1:13" s="3" customFormat="1" ht="15.6" x14ac:dyDescent="0.25">
      <c r="A7" s="14" t="s">
        <v>114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6"/>
      <c r="I7" s="48">
        <f>0</f>
        <v>0</v>
      </c>
      <c r="J7" s="43">
        <f>0</f>
        <v>0</v>
      </c>
      <c r="K7" s="43">
        <f>0</f>
        <v>0</v>
      </c>
      <c r="L7" s="43">
        <f>0</f>
        <v>0</v>
      </c>
      <c r="M7" s="49">
        <f>0</f>
        <v>0</v>
      </c>
    </row>
    <row r="8" spans="1:13" s="3" customFormat="1" ht="31.2" x14ac:dyDescent="0.25">
      <c r="A8" s="14" t="s">
        <v>115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6"/>
      <c r="I8" s="48">
        <f>0</f>
        <v>0</v>
      </c>
      <c r="J8" s="43">
        <f>0</f>
        <v>0</v>
      </c>
      <c r="K8" s="43">
        <f>0</f>
        <v>0</v>
      </c>
      <c r="L8" s="43">
        <f>0</f>
        <v>0</v>
      </c>
      <c r="M8" s="49">
        <f>0</f>
        <v>0</v>
      </c>
    </row>
    <row r="9" spans="1:13" s="3" customFormat="1" ht="31.2" x14ac:dyDescent="0.25">
      <c r="A9" s="12" t="s">
        <v>116</v>
      </c>
      <c r="B9" s="17">
        <v>5338</v>
      </c>
      <c r="C9" s="19">
        <v>23</v>
      </c>
      <c r="D9" s="19">
        <v>-402</v>
      </c>
      <c r="E9" s="19">
        <v>-752</v>
      </c>
      <c r="F9" s="17">
        <v>-1690</v>
      </c>
      <c r="G9" s="13"/>
      <c r="I9" s="81">
        <f t="shared" ref="I9:K9" si="0">SUM(I3:I8)</f>
        <v>26189.175915</v>
      </c>
      <c r="J9" s="80">
        <f t="shared" si="0"/>
        <v>25662.48444</v>
      </c>
      <c r="K9" s="80">
        <f t="shared" si="0"/>
        <v>24952.96443</v>
      </c>
      <c r="L9" s="80">
        <f>SUM(L3:L8)</f>
        <v>21697.970755000002</v>
      </c>
      <c r="M9" s="82">
        <f>SUM(M3:M8)</f>
        <v>19718.337280000003</v>
      </c>
    </row>
    <row r="10" spans="1:13" s="3" customFormat="1" ht="31.2" x14ac:dyDescent="0.25">
      <c r="A10" s="14" t="s">
        <v>117</v>
      </c>
      <c r="B10" s="15">
        <v>609</v>
      </c>
      <c r="C10" s="15">
        <v>586</v>
      </c>
      <c r="D10" s="15">
        <v>988</v>
      </c>
      <c r="E10" s="18">
        <v>1740</v>
      </c>
      <c r="F10" s="18">
        <v>3430</v>
      </c>
      <c r="G10" s="16"/>
      <c r="I10" s="48">
        <f>0</f>
        <v>0</v>
      </c>
      <c r="J10" s="43">
        <f>0</f>
        <v>0</v>
      </c>
      <c r="K10" s="43">
        <f>0</f>
        <v>0</v>
      </c>
      <c r="L10" s="43">
        <f>0</f>
        <v>0</v>
      </c>
      <c r="M10" s="49">
        <f>0</f>
        <v>0</v>
      </c>
    </row>
    <row r="11" spans="1:13" s="3" customFormat="1" ht="16.2" thickBot="1" x14ac:dyDescent="0.3">
      <c r="A11" s="14" t="s">
        <v>118</v>
      </c>
      <c r="B11" s="18">
        <v>5947</v>
      </c>
      <c r="C11" s="15">
        <v>609</v>
      </c>
      <c r="D11" s="15">
        <v>586</v>
      </c>
      <c r="E11" s="15">
        <v>988</v>
      </c>
      <c r="F11" s="18">
        <v>1740</v>
      </c>
      <c r="G11" s="16"/>
      <c r="I11" s="83">
        <f t="shared" ref="I11:L11" si="1">$B$11</f>
        <v>5947</v>
      </c>
      <c r="J11" s="84">
        <f t="shared" si="1"/>
        <v>5947</v>
      </c>
      <c r="K11" s="84">
        <f t="shared" si="1"/>
        <v>5947</v>
      </c>
      <c r="L11" s="84">
        <f t="shared" si="1"/>
        <v>5947</v>
      </c>
      <c r="M11" s="85">
        <f>$B$11</f>
        <v>5947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 </vt:lpstr>
      <vt:lpstr>P&amp;L</vt:lpstr>
      <vt:lpstr>Cash Flow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Angom Sushant</dc:creator>
  <cp:lastModifiedBy>Angom Sushant</cp:lastModifiedBy>
  <dcterms:created xsi:type="dcterms:W3CDTF">2026-01-17T07:50:46Z</dcterms:created>
  <dcterms:modified xsi:type="dcterms:W3CDTF">2026-01-17T15:02:01Z</dcterms:modified>
</cp:coreProperties>
</file>